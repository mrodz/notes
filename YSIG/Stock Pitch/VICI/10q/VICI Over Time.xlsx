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cuments/Notes/YSIG/Stock Pitch/VICI/10q/"/>
    </mc:Choice>
  </mc:AlternateContent>
  <xr:revisionPtr revIDLastSave="0" documentId="13_ncr:1_{AD4C973D-B938-2447-BF50-FF3761FAF1B6}" xr6:coauthVersionLast="47" xr6:coauthVersionMax="47" xr10:uidLastSave="{00000000-0000-0000-0000-000000000000}"/>
  <bookViews>
    <workbookView xWindow="0" yWindow="760" windowWidth="34560" windowHeight="20160" xr2:uid="{E4D61E25-3F2C-2549-A6B3-A831DB9DF31D}"/>
  </bookViews>
  <sheets>
    <sheet name="Balance Sheet" sheetId="1" r:id="rId1"/>
    <sheet name="DCF Calculations" sheetId="2" r:id="rId2"/>
    <sheet name="DCF Calculations (Continued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F11" i="2"/>
  <c r="C15" i="2"/>
  <c r="C16" i="2" s="1"/>
  <c r="C17" i="2" s="1"/>
  <c r="C18" i="2" s="1"/>
  <c r="C19" i="2" s="1"/>
  <c r="D14" i="2"/>
  <c r="C14" i="2"/>
  <c r="F10" i="3"/>
  <c r="H7" i="3"/>
  <c r="H6" i="3"/>
  <c r="H5" i="3"/>
  <c r="H4" i="3"/>
  <c r="F7" i="3"/>
  <c r="F6" i="3"/>
  <c r="F5" i="3"/>
  <c r="F4" i="3"/>
  <c r="D7" i="3"/>
  <c r="D6" i="3"/>
  <c r="D5" i="3"/>
  <c r="D4" i="3"/>
  <c r="D5" i="2"/>
  <c r="C7" i="2"/>
  <c r="D7" i="2" s="1"/>
  <c r="C6" i="2"/>
  <c r="D6" i="2" s="1"/>
  <c r="C5" i="2"/>
  <c r="C4" i="2"/>
  <c r="D4" i="2" s="1"/>
  <c r="C3" i="2"/>
  <c r="D3" i="2" s="1"/>
  <c r="C2" i="2"/>
  <c r="D2" i="2" s="1"/>
  <c r="C57" i="1"/>
  <c r="M57" i="1"/>
  <c r="K57" i="1"/>
  <c r="I57" i="1"/>
  <c r="G57" i="1"/>
  <c r="E57" i="1"/>
  <c r="M55" i="1"/>
  <c r="K55" i="1"/>
  <c r="I55" i="1"/>
  <c r="G55" i="1"/>
  <c r="E55" i="1"/>
  <c r="C55" i="1"/>
  <c r="M54" i="1"/>
  <c r="I54" i="1"/>
  <c r="G54" i="1"/>
  <c r="E54" i="1"/>
  <c r="M53" i="1"/>
  <c r="I53" i="1"/>
  <c r="G53" i="1"/>
  <c r="E53" i="1"/>
  <c r="M52" i="1"/>
  <c r="I52" i="1"/>
  <c r="G52" i="1"/>
  <c r="E52" i="1"/>
  <c r="M50" i="1"/>
  <c r="K50" i="1"/>
  <c r="I50" i="1"/>
  <c r="G50" i="1"/>
  <c r="E50" i="1"/>
  <c r="C50" i="1"/>
  <c r="M49" i="1"/>
  <c r="I49" i="1"/>
  <c r="G49" i="1"/>
  <c r="E49" i="1"/>
  <c r="M47" i="1"/>
  <c r="K47" i="1"/>
  <c r="I47" i="1"/>
  <c r="G47" i="1"/>
  <c r="E47" i="1"/>
  <c r="C47" i="1"/>
  <c r="M45" i="1"/>
  <c r="K45" i="1"/>
  <c r="I45" i="1"/>
  <c r="G45" i="1"/>
  <c r="E45" i="1"/>
  <c r="C45" i="1"/>
  <c r="C44" i="1"/>
  <c r="E44" i="1"/>
  <c r="G44" i="1"/>
  <c r="I44" i="1"/>
  <c r="K44" i="1"/>
  <c r="I43" i="1"/>
  <c r="M41" i="1"/>
  <c r="K41" i="1"/>
  <c r="I41" i="1"/>
  <c r="G41" i="1"/>
  <c r="E41" i="1"/>
  <c r="C41" i="1"/>
  <c r="I40" i="1"/>
  <c r="I39" i="1"/>
  <c r="I38" i="1"/>
  <c r="L32" i="1"/>
  <c r="L33" i="1"/>
  <c r="L34" i="1"/>
  <c r="L35" i="1"/>
  <c r="L31" i="1"/>
  <c r="J32" i="1"/>
  <c r="J33" i="1"/>
  <c r="J34" i="1"/>
  <c r="J35" i="1"/>
  <c r="J31" i="1"/>
  <c r="H32" i="1"/>
  <c r="H33" i="1"/>
  <c r="H34" i="1"/>
  <c r="H35" i="1"/>
  <c r="H31" i="1"/>
  <c r="F32" i="1"/>
  <c r="F33" i="1"/>
  <c r="F34" i="1"/>
  <c r="F35" i="1"/>
  <c r="F31" i="1"/>
  <c r="D32" i="1"/>
  <c r="D33" i="1"/>
  <c r="D34" i="1"/>
  <c r="D35" i="1"/>
  <c r="D31" i="1"/>
  <c r="L24" i="1"/>
  <c r="L25" i="1"/>
  <c r="L26" i="1"/>
  <c r="L27" i="1"/>
  <c r="L28" i="1"/>
  <c r="L23" i="1"/>
  <c r="J24" i="1"/>
  <c r="J25" i="1"/>
  <c r="J26" i="1"/>
  <c r="J27" i="1"/>
  <c r="J28" i="1"/>
  <c r="J23" i="1"/>
  <c r="H24" i="1"/>
  <c r="H25" i="1"/>
  <c r="H26" i="1"/>
  <c r="H27" i="1"/>
  <c r="H28" i="1"/>
  <c r="H23" i="1"/>
  <c r="F24" i="1"/>
  <c r="F25" i="1"/>
  <c r="F26" i="1"/>
  <c r="F27" i="1"/>
  <c r="F28" i="1"/>
  <c r="F23" i="1"/>
  <c r="D23" i="1"/>
  <c r="D24" i="1"/>
  <c r="D25" i="1"/>
  <c r="D26" i="1"/>
  <c r="D27" i="1"/>
  <c r="D28" i="1"/>
  <c r="L20" i="1"/>
  <c r="L19" i="1"/>
  <c r="L18" i="1"/>
  <c r="L17" i="1"/>
  <c r="I18" i="1"/>
  <c r="J20" i="1"/>
  <c r="J19" i="1"/>
  <c r="J18" i="1"/>
  <c r="J17" i="1"/>
  <c r="H20" i="1"/>
  <c r="H19" i="1"/>
  <c r="H18" i="1"/>
  <c r="H17" i="1"/>
  <c r="F20" i="1"/>
  <c r="F19" i="1"/>
  <c r="F18" i="1"/>
  <c r="F17" i="1"/>
  <c r="L14" i="1"/>
  <c r="L13" i="1"/>
  <c r="L12" i="1"/>
  <c r="L11" i="1"/>
  <c r="L10" i="1"/>
  <c r="J14" i="1"/>
  <c r="J13" i="1"/>
  <c r="J12" i="1"/>
  <c r="J11" i="1"/>
  <c r="J10" i="1"/>
  <c r="H14" i="1"/>
  <c r="H13" i="1"/>
  <c r="H12" i="1"/>
  <c r="H11" i="1"/>
  <c r="H10" i="1"/>
  <c r="F14" i="1"/>
  <c r="F13" i="1"/>
  <c r="F12" i="1"/>
  <c r="F11" i="1"/>
  <c r="F10" i="1"/>
  <c r="L7" i="1"/>
  <c r="L6" i="1"/>
  <c r="L5" i="1"/>
  <c r="L4" i="1"/>
  <c r="L3" i="1"/>
  <c r="J7" i="1"/>
  <c r="J6" i="1"/>
  <c r="J5" i="1"/>
  <c r="J4" i="1"/>
  <c r="J3" i="1"/>
  <c r="H7" i="1"/>
  <c r="H6" i="1"/>
  <c r="H5" i="1"/>
  <c r="H4" i="1"/>
  <c r="H3" i="1"/>
  <c r="F7" i="1"/>
  <c r="F6" i="1"/>
  <c r="F5" i="1"/>
  <c r="F4" i="1"/>
  <c r="F3" i="1"/>
  <c r="D4" i="1"/>
  <c r="D5" i="1"/>
  <c r="D6" i="1"/>
  <c r="D7" i="1"/>
  <c r="D18" i="1"/>
  <c r="D19" i="1"/>
  <c r="D20" i="1"/>
  <c r="D17" i="1"/>
  <c r="D14" i="1"/>
  <c r="D13" i="1"/>
  <c r="D11" i="1"/>
  <c r="D12" i="1"/>
  <c r="D10" i="1"/>
  <c r="D3" i="1"/>
  <c r="I35" i="1"/>
  <c r="I28" i="1"/>
  <c r="I27" i="1"/>
  <c r="I26" i="1"/>
  <c r="I25" i="1"/>
  <c r="I24" i="1"/>
  <c r="I23" i="1"/>
  <c r="I20" i="1"/>
  <c r="I19" i="1"/>
  <c r="I17" i="1"/>
  <c r="E35" i="1"/>
  <c r="G35" i="1" s="1"/>
  <c r="E34" i="1"/>
  <c r="G34" i="1" s="1"/>
  <c r="E33" i="1"/>
  <c r="G33" i="1" s="1"/>
  <c r="E32" i="1"/>
  <c r="G32" i="1" s="1"/>
  <c r="E31" i="1"/>
  <c r="G31" i="1" s="1"/>
  <c r="M35" i="1"/>
  <c r="M34" i="1"/>
  <c r="M33" i="1"/>
  <c r="M32" i="1"/>
  <c r="M31" i="1"/>
  <c r="F2" i="2" l="1" a="1"/>
  <c r="F2" i="2" s="1"/>
  <c r="F9" i="2" s="1"/>
  <c r="H14" i="2"/>
  <c r="I31" i="1"/>
  <c r="I33" i="1"/>
  <c r="I32" i="1"/>
  <c r="I34" i="1"/>
  <c r="F17" i="2" l="1"/>
  <c r="F14" i="2" s="1"/>
  <c r="H17" i="2"/>
  <c r="C4" i="3" s="1"/>
  <c r="D15" i="2"/>
  <c r="D16" i="2" s="1"/>
  <c r="D17" i="2" s="1"/>
  <c r="D18" i="2" s="1"/>
  <c r="D19" i="2" s="1"/>
  <c r="C5" i="3" l="1"/>
  <c r="G4" i="3"/>
  <c r="I4" i="3"/>
  <c r="E4" i="3"/>
  <c r="G5" i="3" l="1"/>
  <c r="I5" i="3"/>
  <c r="E5" i="3"/>
  <c r="C6" i="3"/>
  <c r="D29" i="2" l="1"/>
  <c r="D21" i="2"/>
  <c r="C18" i="3"/>
  <c r="C19" i="3" s="1"/>
  <c r="D30" i="2"/>
  <c r="D22" i="2"/>
  <c r="C12" i="3"/>
  <c r="C13" i="3" s="1"/>
  <c r="C24" i="3"/>
  <c r="C25" i="3" s="1"/>
  <c r="C26" i="3" s="1"/>
  <c r="F26" i="3" s="1"/>
  <c r="I26" i="3" s="1"/>
  <c r="D31" i="2"/>
  <c r="D23" i="2"/>
  <c r="C7" i="3"/>
  <c r="D25" i="2"/>
  <c r="D26" i="2"/>
  <c r="D27" i="2"/>
  <c r="G6" i="3"/>
  <c r="I6" i="3"/>
  <c r="E6" i="3"/>
  <c r="G7" i="3" l="1"/>
  <c r="C20" i="3" s="1"/>
  <c r="F20" i="3" s="1"/>
  <c r="I20" i="3" s="1"/>
  <c r="I7" i="3"/>
  <c r="E7" i="3"/>
  <c r="C14" i="3" s="1"/>
  <c r="F14" i="3" s="1"/>
  <c r="I1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<sst xmlns="http://schemas.openxmlformats.org/spreadsheetml/2006/main" count="118" uniqueCount="98">
  <si>
    <t>Investments in leases - sales-type, net</t>
  </si>
  <si>
    <t>Investments in leases - financing receivables, net</t>
  </si>
  <si>
    <t>Investments in loans and securities, net</t>
  </si>
  <si>
    <t>Land</t>
  </si>
  <si>
    <t>Assets</t>
  </si>
  <si>
    <t>Q1 2025</t>
  </si>
  <si>
    <t>Q2 2025</t>
  </si>
  <si>
    <t>Q1 2024</t>
  </si>
  <si>
    <t>Q2 2024</t>
  </si>
  <si>
    <t>Q4 2024</t>
  </si>
  <si>
    <t>Q3 2024</t>
  </si>
  <si>
    <t>Liabilities</t>
  </si>
  <si>
    <t>Debt</t>
  </si>
  <si>
    <t>Accrued expenses and deferred revenue</t>
  </si>
  <si>
    <t>Dividends and distributions payable</t>
  </si>
  <si>
    <t xml:space="preserve">Other liabilities </t>
  </si>
  <si>
    <t>Revenues</t>
  </si>
  <si>
    <t>Income from sales-type leases</t>
  </si>
  <si>
    <t>Income from lease financing receivables, loans and securities</t>
  </si>
  <si>
    <t>Other income</t>
  </si>
  <si>
    <t>Golf revenues</t>
  </si>
  <si>
    <t>Operating Expenses</t>
  </si>
  <si>
    <t>General and administrative</t>
  </si>
  <si>
    <t>Depreciation</t>
  </si>
  <si>
    <t>Other expenses</t>
  </si>
  <si>
    <t>Golf expenses</t>
  </si>
  <si>
    <t>Transaction and acquisition expenses</t>
  </si>
  <si>
    <t>EBIT</t>
  </si>
  <si>
    <t>Change in allowance for credit losses (lost to uncollectable debt)</t>
  </si>
  <si>
    <t>Cash Flows</t>
  </si>
  <si>
    <t>Net income</t>
  </si>
  <si>
    <t>Net cash provided by operating activities</t>
  </si>
  <si>
    <t>Net cash used in investing activities</t>
  </si>
  <si>
    <t>Net cash used in financing activities</t>
  </si>
  <si>
    <t>Net decrease in cash, cash equivalents and restricted cash</t>
  </si>
  <si>
    <t>Total Assets</t>
  </si>
  <si>
    <t>Total liabilities</t>
  </si>
  <si>
    <t>%</t>
  </si>
  <si>
    <t>DCF</t>
  </si>
  <si>
    <t>IBIT</t>
  </si>
  <si>
    <t>Interest expense</t>
  </si>
  <si>
    <t>Interest income</t>
  </si>
  <si>
    <t>Provision for income taxes</t>
  </si>
  <si>
    <t>GAAP tax expense (not %)</t>
  </si>
  <si>
    <t>NOPAT</t>
  </si>
  <si>
    <t>Add Back Non-Cash Charges (D&amp;A)</t>
  </si>
  <si>
    <t>Acquisition of property and equipment</t>
  </si>
  <si>
    <t>Subtract Capital Expenditures (CapEx)</t>
  </si>
  <si>
    <t>Other assets</t>
  </si>
  <si>
    <t>Accrued expenses &amp; deferred revenue</t>
  </si>
  <si>
    <t>Other liabilities</t>
  </si>
  <si>
    <t>Change in Net Working Capital</t>
  </si>
  <si>
    <t>Free Cash Flow for the Firm (per Quarter)</t>
  </si>
  <si>
    <t>Quarter</t>
  </si>
  <si>
    <t>FCFF</t>
  </si>
  <si>
    <t>log(FCFF)</t>
  </si>
  <si>
    <t>Quarterly g</t>
  </si>
  <si>
    <t>Annual g</t>
  </si>
  <si>
    <t>DCF models assume compounding (%), not linear increases, so we use the log-linear version.</t>
  </si>
  <si>
    <t>Year (E)</t>
  </si>
  <si>
    <t>FCFF LTM</t>
  </si>
  <si>
    <t>FCFF (LTM)</t>
  </si>
  <si>
    <t>Q4 2025 (E) Norm</t>
  </si>
  <si>
    <t>Q3 2025 (E) Norm</t>
  </si>
  <si>
    <t>FCFF Norm</t>
  </si>
  <si>
    <t>FCFF (Norm)</t>
  </si>
  <si>
    <t>TV(Norm,2028,WACC=7.5%,base)</t>
  </si>
  <si>
    <t>TV(Norm,2028,WACC=6.5%,bullish)</t>
  </si>
  <si>
    <t>TV(Norm,2028,WACC=8.5%,bearish)</t>
  </si>
  <si>
    <t>TV(Norm,2028,WACC=6.5%,base)</t>
  </si>
  <si>
    <t>TV(Norm,2028,WACC=8.5%,base)</t>
  </si>
  <si>
    <t>TV(Norm,2028,WACC=7.5%,bullish)</t>
  </si>
  <si>
    <t>TV(Norm,2028,WACC=7.5%,bearish)</t>
  </si>
  <si>
    <t>TV(Norm,2028,WACC=8.5%,bullish)</t>
  </si>
  <si>
    <t>TV(Norm,2028,WACC=6.5%,bearish)</t>
  </si>
  <si>
    <t>Year</t>
  </si>
  <si>
    <t>Terminal</t>
  </si>
  <si>
    <t>Index</t>
  </si>
  <si>
    <t>WACC A</t>
  </si>
  <si>
    <t>Gterm (A)</t>
  </si>
  <si>
    <t>PV Factor (A)</t>
  </si>
  <si>
    <t>PV (A)</t>
  </si>
  <si>
    <t>EV (A)</t>
  </si>
  <si>
    <t>PV(Terminal)</t>
  </si>
  <si>
    <t>PV Factor (B)</t>
  </si>
  <si>
    <t>PV(B)</t>
  </si>
  <si>
    <t>Gterm (B)</t>
  </si>
  <si>
    <t>WACC B</t>
  </si>
  <si>
    <t>EV (B)</t>
  </si>
  <si>
    <t>PV Factor (C)</t>
  </si>
  <si>
    <t>Gterm (C)</t>
  </si>
  <si>
    <t>WACC C</t>
  </si>
  <si>
    <t>EV (C)</t>
  </si>
  <si>
    <t>PV (C)</t>
  </si>
  <si>
    <t>Net Debt</t>
  </si>
  <si>
    <t>Equity Value</t>
  </si>
  <si>
    <t>Shares</t>
  </si>
  <si>
    <t>Value/share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</si>
</sst>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0" fillId="2" borderId="0" xfId="0" applyFill="1"/>
    <xf numFmtId="0" fontId="0" fillId="0" borderId="0" xfId="0" applyFill="1"/>
    <xf numFmtId="3" fontId="0" fillId="0" borderId="0" xfId="0" applyNumberFormat="1" applyFill="1"/>
    <xf numFmtId="0" fontId="0" fillId="3" borderId="0" xfId="0" applyFill="1"/>
    <xf numFmtId="0" fontId="2" fillId="0" borderId="0" xfId="0" applyFont="1" applyFill="1"/>
    <xf numFmtId="0" fontId="3" fillId="0" borderId="0" xfId="0" applyFont="1" applyFill="1"/>
    <xf numFmtId="0" fontId="0" fillId="4" borderId="0" xfId="0" applyFill="1"/>
    <xf numFmtId="3" fontId="3" fillId="0" borderId="0" xfId="0" applyNumberFormat="1" applyFont="1" applyFill="1"/>
    <xf numFmtId="0" fontId="3" fillId="3" borderId="0" xfId="0" applyFont="1" applyFill="1"/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A3D0-48F1-6C46-B799-25505063D899}">
  <dimension ref="A1:U60"/>
  <sheetViews>
    <sheetView tabSelected="1" zoomScale="138" workbookViewId="0">
      <selection activeCell="M10" sqref="M10"/>
    </sheetView>
  </sheetViews>
  <sheetFormatPr baseColWidth="10" defaultRowHeight="16" x14ac:dyDescent="0.2"/>
  <cols>
    <col min="1" max="1" width="17.83203125" customWidth="1"/>
    <col min="2" max="2" width="53.6640625" customWidth="1"/>
    <col min="4" max="4" width="10.83203125" style="5"/>
    <col min="6" max="6" width="10.83203125" style="5"/>
    <col min="8" max="8" width="10.83203125" style="5"/>
    <col min="10" max="10" width="10.83203125" style="5"/>
    <col min="12" max="12" width="10.83203125" style="5"/>
  </cols>
  <sheetData>
    <row r="1" spans="1:14" x14ac:dyDescent="0.2">
      <c r="C1" t="s">
        <v>7</v>
      </c>
      <c r="D1" s="5" t="s">
        <v>37</v>
      </c>
      <c r="E1" s="5" t="s">
        <v>8</v>
      </c>
      <c r="F1" s="5" t="s">
        <v>37</v>
      </c>
      <c r="G1" s="5" t="s">
        <v>10</v>
      </c>
      <c r="H1" s="5" t="s">
        <v>37</v>
      </c>
      <c r="I1" s="5" t="s">
        <v>9</v>
      </c>
      <c r="J1" s="5" t="s">
        <v>37</v>
      </c>
      <c r="K1" s="5" t="s">
        <v>5</v>
      </c>
      <c r="L1" s="5" t="s">
        <v>37</v>
      </c>
      <c r="M1" s="5" t="s">
        <v>6</v>
      </c>
    </row>
    <row r="2" spans="1:14" s="5" customFormat="1" x14ac:dyDescent="0.2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8"/>
    </row>
    <row r="3" spans="1:14" x14ac:dyDescent="0.2">
      <c r="B3" t="s">
        <v>0</v>
      </c>
      <c r="C3" s="1">
        <v>22985837</v>
      </c>
      <c r="D3" s="7">
        <f>(E3-C3)/C3*100</f>
        <v>0.88632404380140695</v>
      </c>
      <c r="E3" s="1">
        <v>23189566</v>
      </c>
      <c r="F3" s="7">
        <f>(G3-E3)/E3*100</f>
        <v>1.0356640568434958</v>
      </c>
      <c r="G3" s="1">
        <v>23429732</v>
      </c>
      <c r="H3" s="7">
        <f>(I3-G3)/G3*100</f>
        <v>0.64605519175379378</v>
      </c>
      <c r="I3" s="1">
        <v>23581101</v>
      </c>
      <c r="J3" s="7">
        <f>(K3-I3)/I3*100</f>
        <v>-0.31562139528599614</v>
      </c>
      <c r="K3" s="1">
        <v>23506674</v>
      </c>
      <c r="L3" s="7">
        <f>(M3-K3)/K3*100</f>
        <v>0.76681201262245779</v>
      </c>
      <c r="M3" s="1">
        <v>23686926</v>
      </c>
      <c r="N3" s="2"/>
    </row>
    <row r="4" spans="1:14" x14ac:dyDescent="0.2">
      <c r="B4" t="s">
        <v>1</v>
      </c>
      <c r="C4" s="1">
        <v>18266712</v>
      </c>
      <c r="D4" s="7">
        <f t="shared" ref="D4:F7" si="0">(E4-C4)/C4*100</f>
        <v>0.38961034695242358</v>
      </c>
      <c r="E4" s="1">
        <v>18337881</v>
      </c>
      <c r="F4" s="7">
        <f t="shared" ref="F4" si="1">(G4-E4)/E4*100</f>
        <v>0.39385139428050597</v>
      </c>
      <c r="G4" s="1">
        <v>18410105</v>
      </c>
      <c r="H4" s="7">
        <f t="shared" ref="H4" si="2">(I4-G4)/G4*100</f>
        <v>0.10980382784345881</v>
      </c>
      <c r="I4" s="1">
        <v>18430320</v>
      </c>
      <c r="J4" s="7">
        <f t="shared" ref="J4" si="3">(K4-I4)/I4*100</f>
        <v>0.1340020140724632</v>
      </c>
      <c r="K4" s="1">
        <v>18455017</v>
      </c>
      <c r="L4" s="7">
        <f t="shared" ref="L4" si="4">(M4-K4)/K4*100</f>
        <v>0.66413918773415381</v>
      </c>
      <c r="M4" s="1">
        <v>18577584</v>
      </c>
      <c r="N4" s="3"/>
    </row>
    <row r="5" spans="1:14" x14ac:dyDescent="0.2">
      <c r="B5" t="s">
        <v>2</v>
      </c>
      <c r="C5" s="1">
        <v>1224987</v>
      </c>
      <c r="D5" s="7">
        <f t="shared" si="0"/>
        <v>19.282735245353624</v>
      </c>
      <c r="E5" s="1">
        <v>1461198</v>
      </c>
      <c r="F5" s="7">
        <f t="shared" ref="F5" si="5">(G5-E5)/E5*100</f>
        <v>6.1238791731168538</v>
      </c>
      <c r="G5" s="1">
        <v>1550680</v>
      </c>
      <c r="H5" s="7">
        <f t="shared" ref="H5" si="6">(I5-G5)/G5*100</f>
        <v>6.503791884850517</v>
      </c>
      <c r="I5" s="1">
        <v>1651533</v>
      </c>
      <c r="J5" s="7">
        <f t="shared" ref="J5" si="7">(K5-I5)/I5*100</f>
        <v>23.31167466832331</v>
      </c>
      <c r="K5" s="1">
        <v>2036533</v>
      </c>
      <c r="L5" s="7">
        <f t="shared" ref="L5" si="8">(M5-K5)/K5*100</f>
        <v>16.327552757554137</v>
      </c>
      <c r="M5" s="1">
        <v>2369049</v>
      </c>
      <c r="N5" s="3"/>
    </row>
    <row r="6" spans="1:14" x14ac:dyDescent="0.2">
      <c r="B6" t="s">
        <v>3</v>
      </c>
      <c r="C6" s="1">
        <v>150727</v>
      </c>
      <c r="D6" s="7">
        <f t="shared" si="0"/>
        <v>0</v>
      </c>
      <c r="E6" s="1">
        <v>150727</v>
      </c>
      <c r="F6" s="7">
        <f t="shared" ref="F6" si="9">(G6-E6)/E6*100</f>
        <v>0</v>
      </c>
      <c r="G6" s="1">
        <v>150727</v>
      </c>
      <c r="H6" s="7">
        <f t="shared" ref="H6" si="10">(I6-G6)/G6*100</f>
        <v>0</v>
      </c>
      <c r="I6" s="1">
        <v>150727</v>
      </c>
      <c r="J6" s="7">
        <f t="shared" ref="J6" si="11">(K6-I6)/I6*100</f>
        <v>0</v>
      </c>
      <c r="K6" s="1">
        <v>150727</v>
      </c>
      <c r="L6" s="7">
        <f t="shared" ref="L6" si="12">(M6-K6)/K6*100</f>
        <v>-0.62364407173233727</v>
      </c>
      <c r="M6" s="1">
        <v>149787</v>
      </c>
      <c r="N6" s="3"/>
    </row>
    <row r="7" spans="1:14" x14ac:dyDescent="0.2">
      <c r="B7" t="s">
        <v>35</v>
      </c>
      <c r="C7" s="1">
        <v>44157873</v>
      </c>
      <c r="D7" s="7">
        <f t="shared" si="0"/>
        <v>0.8002582008422372</v>
      </c>
      <c r="E7" s="1">
        <v>44511250</v>
      </c>
      <c r="F7" s="7">
        <f t="shared" ref="F7" si="13">(G7-E7)/E7*100</f>
        <v>0.91405206548906182</v>
      </c>
      <c r="G7" s="1">
        <v>44918106</v>
      </c>
      <c r="H7" s="7">
        <f t="shared" ref="H7" si="14">(I7-G7)/G7*100</f>
        <v>1.0036798969217446</v>
      </c>
      <c r="I7" s="1">
        <v>45368940</v>
      </c>
      <c r="J7" s="7">
        <f t="shared" ref="J7" si="15">(K7-I7)/I7*100</f>
        <v>0.34632504087598259</v>
      </c>
      <c r="K7" s="1">
        <v>45526064</v>
      </c>
      <c r="L7" s="7">
        <f t="shared" ref="L7" si="16">(M7-K7)/K7*100</f>
        <v>0.96955669174475534</v>
      </c>
      <c r="M7" s="1">
        <v>45967465</v>
      </c>
      <c r="N7" s="3"/>
    </row>
    <row r="8" spans="1:14" x14ac:dyDescent="0.2">
      <c r="D8" s="7"/>
      <c r="F8" s="7"/>
      <c r="H8" s="7"/>
      <c r="J8" s="7"/>
      <c r="L8" s="7"/>
      <c r="M8" s="1"/>
      <c r="N8" s="3"/>
    </row>
    <row r="9" spans="1:14" s="5" customFormat="1" x14ac:dyDescent="0.2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</row>
    <row r="10" spans="1:14" x14ac:dyDescent="0.2">
      <c r="B10" t="s">
        <v>12</v>
      </c>
      <c r="C10" s="1">
        <v>16711739</v>
      </c>
      <c r="D10" s="7">
        <f>(E10-C10)/C10*100</f>
        <v>9.3479200459030631E-2</v>
      </c>
      <c r="E10" s="1">
        <v>16727361</v>
      </c>
      <c r="F10" s="7">
        <f>(G10-E10)/E10*100</f>
        <v>9.6984814281224629E-2</v>
      </c>
      <c r="G10" s="1">
        <v>16743584</v>
      </c>
      <c r="H10" s="7">
        <f>(I10-G10)/G10*100</f>
        <v>-6.3875213335448378E-2</v>
      </c>
      <c r="I10" s="1">
        <v>16732889</v>
      </c>
      <c r="J10" s="7">
        <f>(K10-I10)/I10*100</f>
        <v>0.68196233178861099</v>
      </c>
      <c r="K10" s="1">
        <v>16847001</v>
      </c>
      <c r="L10" s="7">
        <f>(M10-K10)/K10*100</f>
        <v>0.4467976229122323</v>
      </c>
      <c r="M10" s="1">
        <v>16922273</v>
      </c>
      <c r="N10" s="2"/>
    </row>
    <row r="11" spans="1:14" x14ac:dyDescent="0.2">
      <c r="B11" t="s">
        <v>13</v>
      </c>
      <c r="C11" s="1">
        <v>186556</v>
      </c>
      <c r="D11" s="7">
        <f t="shared" ref="D11:D35" si="17">(E11-C11)/C11*100</f>
        <v>15.616222474752888</v>
      </c>
      <c r="E11" s="1">
        <v>215689</v>
      </c>
      <c r="F11" s="7">
        <f t="shared" ref="F11" si="18">(G11-E11)/E11*100</f>
        <v>-9.9624922921428531</v>
      </c>
      <c r="G11" s="1">
        <v>194201</v>
      </c>
      <c r="H11" s="7">
        <f t="shared" ref="H11" si="19">(I11-G11)/G11*100</f>
        <v>12.232171821978259</v>
      </c>
      <c r="I11" s="1">
        <v>217956</v>
      </c>
      <c r="J11" s="7">
        <f t="shared" ref="J11" si="20">(K11-I11)/I11*100</f>
        <v>-12.116206940850446</v>
      </c>
      <c r="K11" s="1">
        <v>191548</v>
      </c>
      <c r="L11" s="7">
        <f t="shared" ref="L11" si="21">(M11-K11)/K11*100</f>
        <v>14.756614530039469</v>
      </c>
      <c r="M11" s="1">
        <v>219814</v>
      </c>
      <c r="N11" s="3"/>
    </row>
    <row r="12" spans="1:14" x14ac:dyDescent="0.2">
      <c r="B12" t="s">
        <v>14</v>
      </c>
      <c r="C12" s="1">
        <v>437766</v>
      </c>
      <c r="D12" s="7">
        <f t="shared" si="17"/>
        <v>4.34021829013674E-3</v>
      </c>
      <c r="E12" s="1">
        <v>437785</v>
      </c>
      <c r="F12" s="7">
        <f t="shared" ref="F12" si="22">(G12-E12)/E12*100</f>
        <v>4.6123096953984266</v>
      </c>
      <c r="G12" s="1">
        <v>457977</v>
      </c>
      <c r="H12" s="7">
        <f t="shared" ref="H12" si="23">(I12-G12)/G12*100</f>
        <v>0.86838422016826178</v>
      </c>
      <c r="I12" s="1">
        <v>461954</v>
      </c>
      <c r="J12" s="7">
        <f t="shared" ref="J12" si="24">(K12-I12)/I12*100</f>
        <v>2.9873104248474953E-2</v>
      </c>
      <c r="K12" s="1">
        <v>462092</v>
      </c>
      <c r="L12" s="7">
        <f t="shared" ref="L12" si="25">(M12-K12)/K12*100</f>
        <v>4.5445495702154549E-3</v>
      </c>
      <c r="M12" s="1">
        <v>462113</v>
      </c>
      <c r="N12" s="2"/>
    </row>
    <row r="13" spans="1:14" x14ac:dyDescent="0.2">
      <c r="B13" t="s">
        <v>15</v>
      </c>
      <c r="C13" s="1">
        <v>1003254</v>
      </c>
      <c r="D13" s="7">
        <f t="shared" si="17"/>
        <v>8.4524955793846834E-2</v>
      </c>
      <c r="E13" s="1">
        <v>1004102</v>
      </c>
      <c r="F13" s="7">
        <f t="shared" ref="F13" si="26">(G13-E13)/E13*100</f>
        <v>-0.4810268279517419</v>
      </c>
      <c r="G13" s="1">
        <v>999272</v>
      </c>
      <c r="H13" s="7">
        <f t="shared" ref="H13" si="27">(I13-G13)/G13*100</f>
        <v>0.50716921919157143</v>
      </c>
      <c r="I13" s="1">
        <v>1004340</v>
      </c>
      <c r="J13" s="7">
        <f t="shared" ref="J13" si="28">(K13-I13)/I13*100</f>
        <v>-0.15751637891550671</v>
      </c>
      <c r="K13" s="1">
        <v>1002758</v>
      </c>
      <c r="L13" s="7">
        <f t="shared" ref="L13" si="29">(M13-K13)/K13*100</f>
        <v>0.29448780264031804</v>
      </c>
      <c r="M13" s="1">
        <v>1005711</v>
      </c>
      <c r="N13" s="2"/>
    </row>
    <row r="14" spans="1:14" x14ac:dyDescent="0.2">
      <c r="B14" t="s">
        <v>36</v>
      </c>
      <c r="C14" s="1">
        <v>18339315</v>
      </c>
      <c r="D14" s="7">
        <f>(E14-C14)/C14*100</f>
        <v>0.24876610713104605</v>
      </c>
      <c r="E14" s="1">
        <v>18384937</v>
      </c>
      <c r="F14" s="7">
        <f t="shared" ref="F14" si="30">(G14-E14)/E14*100</f>
        <v>5.4919959747482407E-2</v>
      </c>
      <c r="G14" s="1">
        <v>18395034</v>
      </c>
      <c r="H14" s="7">
        <f t="shared" ref="H14" si="31">(I14-G14)/G14*100</f>
        <v>0.12016830194497058</v>
      </c>
      <c r="I14" s="1">
        <v>18417139</v>
      </c>
      <c r="J14" s="7">
        <f t="shared" ref="J14" si="32">(K14-I14)/I14*100</f>
        <v>0.46836807823408405</v>
      </c>
      <c r="K14" s="1">
        <v>18503399</v>
      </c>
      <c r="L14" s="7">
        <f t="shared" ref="L14" si="33">(M14-K14)/K14*100</f>
        <v>0.49559002645946293</v>
      </c>
      <c r="M14" s="1">
        <v>18595100</v>
      </c>
      <c r="N14" s="2"/>
    </row>
    <row r="15" spans="1:14" x14ac:dyDescent="0.2">
      <c r="D15" s="7"/>
      <c r="F15" s="7"/>
      <c r="H15" s="7"/>
      <c r="J15" s="7"/>
      <c r="L15" s="7"/>
    </row>
    <row r="16" spans="1:14" s="5" customFormat="1" x14ac:dyDescent="0.2">
      <c r="A16" s="4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B17" t="s">
        <v>17</v>
      </c>
      <c r="C17" s="1">
        <v>512772</v>
      </c>
      <c r="D17" s="7">
        <f>(E17-C17)/C17*100</f>
        <v>-9.4193910743956374E-2</v>
      </c>
      <c r="E17" s="1">
        <v>512289</v>
      </c>
      <c r="F17" s="7">
        <f>(G17-E17)/E17*100</f>
        <v>1.249685236263125</v>
      </c>
      <c r="G17" s="1">
        <v>518691</v>
      </c>
      <c r="H17" s="7">
        <f>(I17-G17)/G17*100</f>
        <v>1.1567580698334847</v>
      </c>
      <c r="I17" s="1">
        <f>2068443-C17-E17-G17</f>
        <v>524691</v>
      </c>
      <c r="J17" s="7">
        <f>(K17-I17)/I17*100</f>
        <v>0.74577227358578668</v>
      </c>
      <c r="K17" s="1">
        <v>528604</v>
      </c>
      <c r="L17" s="7">
        <f>(M17-K17)/K17*100</f>
        <v>0.32992561539451082</v>
      </c>
      <c r="M17" s="1">
        <v>530348</v>
      </c>
    </row>
    <row r="18" spans="1:13" x14ac:dyDescent="0.2">
      <c r="B18" t="s">
        <v>18</v>
      </c>
      <c r="C18" s="1">
        <v>409301</v>
      </c>
      <c r="D18" s="7">
        <f t="shared" ref="D18:F20" si="34">(E18-C18)/C18*100</f>
        <v>1.0833103266300352</v>
      </c>
      <c r="E18" s="1">
        <v>413735</v>
      </c>
      <c r="F18" s="7">
        <f t="shared" ref="F18" si="35">(G18-E18)/E18*100</f>
        <v>1.3003492573748898</v>
      </c>
      <c r="G18" s="1">
        <v>419115</v>
      </c>
      <c r="H18" s="7">
        <f t="shared" ref="H18" si="36">(I18-G18)/G18*100</f>
        <v>0.38724455101821698</v>
      </c>
      <c r="I18" s="1">
        <f>1662889-C18-E18-G18</f>
        <v>420738</v>
      </c>
      <c r="J18" s="7">
        <f>(K18-I18)/I18*100</f>
        <v>1.3647448055559517</v>
      </c>
      <c r="K18" s="1">
        <v>426480</v>
      </c>
      <c r="L18" s="7">
        <f>(M18-K18)/K18*100</f>
        <v>3.2311011067341959</v>
      </c>
      <c r="M18" s="1">
        <v>440260</v>
      </c>
    </row>
    <row r="19" spans="1:13" x14ac:dyDescent="0.2">
      <c r="B19" t="s">
        <v>19</v>
      </c>
      <c r="C19" s="1">
        <v>19312</v>
      </c>
      <c r="D19" s="7">
        <f t="shared" si="34"/>
        <v>5.6959403479701735E-2</v>
      </c>
      <c r="E19" s="1">
        <v>19323</v>
      </c>
      <c r="F19" s="7">
        <f t="shared" ref="F19" si="37">(G19-E19)/E19*100</f>
        <v>-4.1401438699994825E-2</v>
      </c>
      <c r="G19" s="1">
        <v>19315</v>
      </c>
      <c r="H19" s="7">
        <f t="shared" ref="H19" si="38">(I19-G19)/G19*100</f>
        <v>0.81283976184312701</v>
      </c>
      <c r="I19" s="1">
        <f>77422-C19-E19-G19</f>
        <v>19472</v>
      </c>
      <c r="J19" s="7">
        <f>(K19-I19)/I19*100</f>
        <v>0.21055875102711585</v>
      </c>
      <c r="K19" s="1">
        <v>19513</v>
      </c>
      <c r="L19" s="7">
        <f>(M19-K19)/K19*100</f>
        <v>0.1178701378568134</v>
      </c>
      <c r="M19" s="1">
        <v>19536</v>
      </c>
    </row>
    <row r="20" spans="1:13" x14ac:dyDescent="0.2">
      <c r="B20" t="s">
        <v>20</v>
      </c>
      <c r="C20" s="1">
        <v>10096</v>
      </c>
      <c r="D20" s="7">
        <f t="shared" si="34"/>
        <v>15.451664025356576</v>
      </c>
      <c r="E20" s="1">
        <v>11656</v>
      </c>
      <c r="F20" s="7">
        <f t="shared" ref="F20" si="39">(G20-E20)/E20*100</f>
        <v>-35.243651338366504</v>
      </c>
      <c r="G20" s="1">
        <v>7548</v>
      </c>
      <c r="H20" s="7">
        <f t="shared" ref="H20" si="40">(I20-G20)/G20*100</f>
        <v>47.734499205087438</v>
      </c>
      <c r="I20" s="1">
        <f>40451-C20-E20-G20</f>
        <v>11151</v>
      </c>
      <c r="J20" s="7">
        <f>(K20-I20)/I20*100</f>
        <v>-13.846291812393508</v>
      </c>
      <c r="K20" s="1">
        <v>9607</v>
      </c>
      <c r="L20" s="7">
        <f>(M20-K20)/K20*100</f>
        <v>16.477568439679398</v>
      </c>
      <c r="M20" s="1">
        <v>11190</v>
      </c>
    </row>
    <row r="21" spans="1:13" x14ac:dyDescent="0.2">
      <c r="D21" s="7"/>
      <c r="F21" s="7"/>
      <c r="H21" s="7"/>
      <c r="J21" s="7"/>
      <c r="L21" s="7"/>
    </row>
    <row r="22" spans="1:13" s="5" customFormat="1" x14ac:dyDescent="0.2">
      <c r="A22" s="4" t="s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">
      <c r="B23" t="s">
        <v>22</v>
      </c>
      <c r="C23" s="1">
        <v>16192</v>
      </c>
      <c r="D23" s="7">
        <f>(E23-C23)/C23*100</f>
        <v>-2.6185770750988144</v>
      </c>
      <c r="E23" s="1">
        <v>15768</v>
      </c>
      <c r="F23" s="7">
        <f>(G23-E23)/E23*100</f>
        <v>4.3759512937595124</v>
      </c>
      <c r="G23" s="1">
        <v>16458</v>
      </c>
      <c r="H23" s="7">
        <f>(I23-G23)/G23*100</f>
        <v>25.720014582573825</v>
      </c>
      <c r="I23" s="1">
        <f>69109-C23-E23-G23</f>
        <v>20691</v>
      </c>
      <c r="J23" s="7">
        <f>(K23-I23)/I23*100</f>
        <v>-28.181334879899474</v>
      </c>
      <c r="K23" s="1">
        <v>14860</v>
      </c>
      <c r="L23" s="7">
        <f t="shared" ref="J23:L28" si="41">(M23-K23)/K23*100</f>
        <v>-2.0121130551816959</v>
      </c>
      <c r="M23" s="1">
        <v>14561</v>
      </c>
    </row>
    <row r="24" spans="1:13" x14ac:dyDescent="0.2">
      <c r="B24" t="s">
        <v>23</v>
      </c>
      <c r="C24" s="1">
        <v>1133</v>
      </c>
      <c r="D24" s="7">
        <f t="shared" ref="D24:D28" si="42">(E24-C24)/C24*100</f>
        <v>-12.444836716681378</v>
      </c>
      <c r="E24">
        <v>992</v>
      </c>
      <c r="F24" s="7">
        <f t="shared" ref="F24:F28" si="43">(G24-E24)/E24*100</f>
        <v>1.6129032258064515</v>
      </c>
      <c r="G24" s="1">
        <v>1008</v>
      </c>
      <c r="H24" s="7">
        <f t="shared" ref="H24:H28" si="44">(I24-G24)/G24*100</f>
        <v>-1.5873015873015872</v>
      </c>
      <c r="I24" s="1">
        <f>4125-C24-E24-G24</f>
        <v>992</v>
      </c>
      <c r="J24" s="7">
        <f t="shared" si="41"/>
        <v>0.40322580645161288</v>
      </c>
      <c r="K24">
        <v>996</v>
      </c>
      <c r="L24" s="7">
        <f t="shared" ref="L24" si="45">(M24-K24)/K24*100</f>
        <v>-25.602409638554217</v>
      </c>
      <c r="M24">
        <v>741</v>
      </c>
    </row>
    <row r="25" spans="1:13" x14ac:dyDescent="0.2">
      <c r="B25" t="s">
        <v>24</v>
      </c>
      <c r="C25" s="1">
        <v>19312</v>
      </c>
      <c r="D25" s="7">
        <f t="shared" si="42"/>
        <v>5.6959403479701735E-2</v>
      </c>
      <c r="E25" s="1">
        <v>19323</v>
      </c>
      <c r="F25" s="7">
        <f t="shared" si="43"/>
        <v>-4.1401438699994825E-2</v>
      </c>
      <c r="G25" s="1">
        <v>19315</v>
      </c>
      <c r="H25" s="7">
        <f t="shared" si="44"/>
        <v>0.81283976184312701</v>
      </c>
      <c r="I25" s="1">
        <f>77422-C25-E25-G25</f>
        <v>19472</v>
      </c>
      <c r="J25" s="7">
        <f t="shared" si="41"/>
        <v>0.21055875102711585</v>
      </c>
      <c r="K25" s="1">
        <v>19513</v>
      </c>
      <c r="L25" s="7">
        <f t="shared" ref="L25" si="46">(M25-K25)/K25*100</f>
        <v>0.1178701378568134</v>
      </c>
      <c r="M25" s="1">
        <v>19536</v>
      </c>
    </row>
    <row r="26" spans="1:13" x14ac:dyDescent="0.2">
      <c r="B26" t="s">
        <v>25</v>
      </c>
      <c r="C26" s="1">
        <v>6511</v>
      </c>
      <c r="D26" s="7">
        <f t="shared" si="42"/>
        <v>4.6383044079250499</v>
      </c>
      <c r="E26" s="1">
        <v>6813</v>
      </c>
      <c r="F26" s="7">
        <f t="shared" si="43"/>
        <v>0.16145603992367533</v>
      </c>
      <c r="G26" s="1">
        <v>6824</v>
      </c>
      <c r="H26" s="7">
        <f t="shared" si="44"/>
        <v>-1.1283704572098476</v>
      </c>
      <c r="I26" s="1">
        <f>26895-C26-E26-G26</f>
        <v>6747</v>
      </c>
      <c r="J26" s="7">
        <f t="shared" si="41"/>
        <v>-5.8544538313324441</v>
      </c>
      <c r="K26" s="1">
        <v>6352</v>
      </c>
      <c r="L26" s="7">
        <f t="shared" ref="L26" si="47">(M26-K26)/K26*100</f>
        <v>4.2034005037783375</v>
      </c>
      <c r="M26" s="1">
        <v>6619</v>
      </c>
    </row>
    <row r="27" spans="1:13" x14ac:dyDescent="0.2">
      <c r="B27" t="s">
        <v>28</v>
      </c>
      <c r="C27" s="1">
        <v>106918</v>
      </c>
      <c r="D27" s="7">
        <f t="shared" si="42"/>
        <v>-140.21773695729439</v>
      </c>
      <c r="E27" s="1">
        <v>-43000</v>
      </c>
      <c r="F27" s="7">
        <f t="shared" si="43"/>
        <v>-26.451162790697673</v>
      </c>
      <c r="G27" s="1">
        <v>-31626</v>
      </c>
      <c r="H27" s="7">
        <f t="shared" si="44"/>
        <v>-398.57712009106427</v>
      </c>
      <c r="I27" s="1">
        <f>126720-C27-E27-G27</f>
        <v>94428</v>
      </c>
      <c r="J27" s="7">
        <f t="shared" si="41"/>
        <v>97.988943957300805</v>
      </c>
      <c r="K27" s="1">
        <v>186957</v>
      </c>
      <c r="L27" s="7">
        <f t="shared" ref="L27" si="48">(M27-K27)/K27*100</f>
        <v>-175.95382895532128</v>
      </c>
      <c r="M27" s="1">
        <v>-142001</v>
      </c>
    </row>
    <row r="28" spans="1:13" x14ac:dyDescent="0.2">
      <c r="B28" t="s">
        <v>26</v>
      </c>
      <c r="C28">
        <v>305</v>
      </c>
      <c r="D28" s="7">
        <f t="shared" si="42"/>
        <v>-15.081967213114755</v>
      </c>
      <c r="E28" s="1">
        <v>259</v>
      </c>
      <c r="F28" s="7">
        <f t="shared" si="43"/>
        <v>349.42084942084944</v>
      </c>
      <c r="G28" s="1">
        <v>1164</v>
      </c>
      <c r="H28" s="7">
        <f t="shared" si="44"/>
        <v>143.90034364261169</v>
      </c>
      <c r="I28" s="1">
        <f>4567-C28-E28-G28</f>
        <v>2839</v>
      </c>
      <c r="J28" s="7">
        <f t="shared" si="41"/>
        <v>-98.414934836209937</v>
      </c>
      <c r="K28" s="1">
        <v>45</v>
      </c>
      <c r="L28" s="7">
        <f t="shared" ref="L28" si="49">(M28-K28)/K28*100</f>
        <v>16420</v>
      </c>
      <c r="M28" s="1">
        <v>7434</v>
      </c>
    </row>
    <row r="29" spans="1:13" x14ac:dyDescent="0.2">
      <c r="D29" s="7"/>
      <c r="F29" s="7"/>
      <c r="H29" s="7"/>
      <c r="J29" s="7"/>
      <c r="L29" s="7"/>
    </row>
    <row r="30" spans="1:13" s="5" customFormat="1" x14ac:dyDescent="0.2">
      <c r="A30" s="4" t="s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B31" t="s">
        <v>30</v>
      </c>
      <c r="C31" s="1">
        <v>599803</v>
      </c>
      <c r="D31" s="7">
        <f>(E31-C31)/C31*100</f>
        <v>25.500039179530614</v>
      </c>
      <c r="E31" s="1">
        <f>1352556-C31</f>
        <v>752753</v>
      </c>
      <c r="F31" s="7">
        <f>(G31-E31)/E31*100</f>
        <v>-1.0988996390582302</v>
      </c>
      <c r="G31" s="1">
        <f>2097037-E31-C31</f>
        <v>744481</v>
      </c>
      <c r="H31" s="7">
        <f>(I31-G31)/G31*100</f>
        <v>-16.155684295502503</v>
      </c>
      <c r="I31" s="1">
        <f>2721242-C31-E31-G31</f>
        <v>624205</v>
      </c>
      <c r="J31" s="7">
        <f>(K31-I31)/I31*100</f>
        <v>-11.525059876162478</v>
      </c>
      <c r="K31" s="1">
        <v>552265</v>
      </c>
      <c r="L31" s="7">
        <f t="shared" ref="J31:L35" si="50">(M31-K31)/K31*100</f>
        <v>59.048282980091081</v>
      </c>
      <c r="M31" s="1">
        <f>1430633-K31</f>
        <v>878368</v>
      </c>
    </row>
    <row r="32" spans="1:13" x14ac:dyDescent="0.2">
      <c r="B32" t="s">
        <v>31</v>
      </c>
      <c r="C32" s="1">
        <v>543739</v>
      </c>
      <c r="D32" s="7">
        <f t="shared" ref="D32:D35" si="51">(E32-C32)/C32*100</f>
        <v>13.034010802977164</v>
      </c>
      <c r="E32" s="1">
        <f>1158349-C32</f>
        <v>614610</v>
      </c>
      <c r="F32" s="7">
        <f t="shared" ref="F32:F35" si="52">(G32-E32)/E32*100</f>
        <v>-5.7854574445583378</v>
      </c>
      <c r="G32" s="1">
        <f>1737401-E32-C32</f>
        <v>579052</v>
      </c>
      <c r="H32" s="7">
        <f t="shared" ref="H32:H35" si="53">(I32-G32)/G32*100</f>
        <v>11.233015342318135</v>
      </c>
      <c r="I32" s="1">
        <f>2381498-C32-E32-G32</f>
        <v>644097</v>
      </c>
      <c r="J32" s="7">
        <f t="shared" si="50"/>
        <v>-8.1102691054297722</v>
      </c>
      <c r="K32" s="1">
        <v>591859</v>
      </c>
      <c r="L32" s="7">
        <f t="shared" ref="L32" si="54">(M32-K32)/K32*100</f>
        <v>8.1167980887339723</v>
      </c>
      <c r="M32" s="1">
        <f>1231758-K32</f>
        <v>639899</v>
      </c>
    </row>
    <row r="33" spans="1:21" x14ac:dyDescent="0.2">
      <c r="B33" t="s">
        <v>32</v>
      </c>
      <c r="C33" s="1">
        <v>-109160</v>
      </c>
      <c r="D33" s="7">
        <f t="shared" si="51"/>
        <v>185.70355441553684</v>
      </c>
      <c r="E33" s="1">
        <f>-421034-C33</f>
        <v>-311874</v>
      </c>
      <c r="F33" s="7">
        <f t="shared" si="52"/>
        <v>-22.541795725196714</v>
      </c>
      <c r="G33" s="1">
        <f>-662606-C33-E33</f>
        <v>-241572</v>
      </c>
      <c r="H33" s="7">
        <f t="shared" si="53"/>
        <v>7.7008096964880037</v>
      </c>
      <c r="I33" s="1">
        <f>-922781-C33-E33-G33</f>
        <v>-260175</v>
      </c>
      <c r="J33" s="7">
        <f t="shared" si="50"/>
        <v>48.200634188526955</v>
      </c>
      <c r="K33" s="1">
        <v>-385581</v>
      </c>
      <c r="L33" s="7">
        <f t="shared" ref="L33" si="55">(M33-K33)/K33*100</f>
        <v>-14.476595060441255</v>
      </c>
      <c r="M33" s="1">
        <f>-715343-K33</f>
        <v>-329762</v>
      </c>
    </row>
    <row r="34" spans="1:21" x14ac:dyDescent="0.2">
      <c r="B34" t="s">
        <v>33</v>
      </c>
      <c r="C34" s="1">
        <v>-471781</v>
      </c>
      <c r="D34" s="7">
        <f t="shared" si="51"/>
        <v>-6.4915713010909721</v>
      </c>
      <c r="E34" s="1">
        <f>-912936-C34</f>
        <v>-441155</v>
      </c>
      <c r="F34" s="7">
        <f t="shared" si="52"/>
        <v>-25.357074044270156</v>
      </c>
      <c r="G34" s="1">
        <f>-1242227-C34-E34</f>
        <v>-329291</v>
      </c>
      <c r="H34" s="7">
        <f t="shared" si="53"/>
        <v>-34.740396791895314</v>
      </c>
      <c r="I34" s="1">
        <f>-1457121-C34-E34-G34</f>
        <v>-214894</v>
      </c>
      <c r="J34" s="7">
        <f t="shared" si="50"/>
        <v>84.631492735953543</v>
      </c>
      <c r="K34" s="1">
        <v>-396762</v>
      </c>
      <c r="L34" s="7">
        <f t="shared" ref="L34" si="56">(M34-K34)/K34*100</f>
        <v>3.7523754795066062</v>
      </c>
      <c r="M34" s="1">
        <f>-808412-K34</f>
        <v>-411650</v>
      </c>
    </row>
    <row r="35" spans="1:21" x14ac:dyDescent="0.2">
      <c r="B35" t="s">
        <v>34</v>
      </c>
      <c r="C35" s="1">
        <v>-37256</v>
      </c>
      <c r="D35" s="7">
        <f t="shared" si="51"/>
        <v>270.83422804380501</v>
      </c>
      <c r="E35" s="1">
        <f>-175414-C35</f>
        <v>-138158</v>
      </c>
      <c r="F35" s="7">
        <f t="shared" si="52"/>
        <v>-106.15744292766254</v>
      </c>
      <c r="G35" s="1">
        <f>-166907-C35-E35</f>
        <v>8507</v>
      </c>
      <c r="H35" s="7">
        <f t="shared" si="53"/>
        <v>1885.9880098742212</v>
      </c>
      <c r="I35" s="1">
        <f>2041-C35-E35-G35</f>
        <v>168948</v>
      </c>
      <c r="J35" s="7">
        <f t="shared" si="50"/>
        <v>-212.6370244098776</v>
      </c>
      <c r="K35" s="1">
        <v>-190298</v>
      </c>
      <c r="L35" s="7">
        <f t="shared" ref="L35" si="57">(M35-K35)/K35*100</f>
        <v>-46.749834470146823</v>
      </c>
      <c r="M35" s="1">
        <f>-291632-K35</f>
        <v>-101334</v>
      </c>
    </row>
    <row r="36" spans="1:21" x14ac:dyDescent="0.2">
      <c r="D36" s="7"/>
      <c r="F36" s="7"/>
      <c r="H36" s="7"/>
      <c r="J36" s="7"/>
      <c r="L36" s="7"/>
    </row>
    <row r="37" spans="1:21" s="5" customFormat="1" x14ac:dyDescent="0.2">
      <c r="A37" s="10" t="s">
        <v>38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21" x14ac:dyDescent="0.2">
      <c r="A38" s="5"/>
      <c r="B38" s="5" t="s">
        <v>39</v>
      </c>
      <c r="C38" s="6">
        <v>601365</v>
      </c>
      <c r="D38" s="7"/>
      <c r="E38" s="6">
        <v>755987</v>
      </c>
      <c r="F38" s="7"/>
      <c r="G38" s="6">
        <v>746942</v>
      </c>
      <c r="H38" s="7"/>
      <c r="I38" s="6">
        <f>2730946-C38-E38-G38</f>
        <v>626652</v>
      </c>
      <c r="J38" s="7"/>
      <c r="K38" s="6">
        <v>549809</v>
      </c>
      <c r="L38" s="7"/>
      <c r="M38" s="6">
        <v>883932</v>
      </c>
      <c r="N38" s="5"/>
      <c r="O38" s="5"/>
      <c r="P38" s="5"/>
      <c r="Q38" s="5"/>
      <c r="R38" s="5"/>
      <c r="S38" s="5"/>
      <c r="T38" s="5"/>
      <c r="U38" s="5"/>
    </row>
    <row r="39" spans="1:21" x14ac:dyDescent="0.2">
      <c r="A39" s="5"/>
      <c r="B39" s="5" t="s">
        <v>40</v>
      </c>
      <c r="C39" s="6">
        <v>-204882</v>
      </c>
      <c r="D39" s="7"/>
      <c r="E39" s="6">
        <v>-205777</v>
      </c>
      <c r="F39" s="7"/>
      <c r="G39" s="6">
        <v>-207317</v>
      </c>
      <c r="H39" s="7"/>
      <c r="I39" s="6">
        <f>-826097-C39-E39-G39</f>
        <v>-208121</v>
      </c>
      <c r="J39" s="7"/>
      <c r="K39" s="6">
        <v>-209251</v>
      </c>
      <c r="L39" s="7"/>
      <c r="M39" s="6">
        <v>-213797</v>
      </c>
      <c r="N39" s="5"/>
      <c r="O39" s="5"/>
      <c r="P39" s="5"/>
      <c r="Q39" s="5"/>
      <c r="R39" s="5"/>
      <c r="S39" s="5"/>
      <c r="T39" s="5"/>
      <c r="U39" s="5"/>
    </row>
    <row r="40" spans="1:21" x14ac:dyDescent="0.2">
      <c r="A40" s="5"/>
      <c r="B40" s="5" t="s">
        <v>41</v>
      </c>
      <c r="C40" s="6">
        <v>5293</v>
      </c>
      <c r="D40" s="7"/>
      <c r="E40" s="6">
        <v>3926</v>
      </c>
      <c r="F40" s="7"/>
      <c r="G40" s="6">
        <v>2797</v>
      </c>
      <c r="H40" s="7"/>
      <c r="I40" s="6">
        <f>16095-C40-E40-G40</f>
        <v>4079</v>
      </c>
      <c r="J40" s="7"/>
      <c r="K40" s="1">
        <v>3697</v>
      </c>
      <c r="L40" s="7"/>
      <c r="M40" s="6">
        <v>2293</v>
      </c>
      <c r="N40" s="5"/>
      <c r="O40" s="5"/>
      <c r="P40" s="5"/>
      <c r="Q40" s="5"/>
      <c r="R40" s="5"/>
      <c r="S40" s="5"/>
      <c r="T40" s="5"/>
      <c r="U40" s="5"/>
    </row>
    <row r="41" spans="1:21" x14ac:dyDescent="0.2">
      <c r="A41" s="5"/>
      <c r="B41" s="9" t="s">
        <v>27</v>
      </c>
      <c r="C41" s="11">
        <f>C38-C39-C40</f>
        <v>800954</v>
      </c>
      <c r="D41" s="12"/>
      <c r="E41" s="11">
        <f>E38-E39-E40</f>
        <v>957838</v>
      </c>
      <c r="F41" s="12"/>
      <c r="G41" s="11">
        <f>G38-G39-G40</f>
        <v>951462</v>
      </c>
      <c r="H41" s="12"/>
      <c r="I41" s="11">
        <f>I38-I39-I40</f>
        <v>830694</v>
      </c>
      <c r="J41" s="12"/>
      <c r="K41" s="11">
        <f>K38-K39-K40</f>
        <v>755363</v>
      </c>
      <c r="L41" s="12"/>
      <c r="M41" s="11">
        <f>M38-M39-M40</f>
        <v>1095436</v>
      </c>
      <c r="N41" s="5"/>
      <c r="O41" s="5"/>
      <c r="P41" s="5"/>
      <c r="Q41" s="5"/>
      <c r="R41" s="5"/>
      <c r="S41" s="5"/>
      <c r="T41" s="5"/>
      <c r="U41" s="5"/>
    </row>
    <row r="42" spans="1:21" x14ac:dyDescent="0.2">
      <c r="A42" s="5"/>
      <c r="B42" s="5"/>
      <c r="C42" s="5"/>
      <c r="D42" s="7"/>
      <c r="E42" s="5"/>
      <c r="F42" s="7"/>
      <c r="G42" s="5"/>
      <c r="H42" s="7"/>
      <c r="I42" s="5"/>
      <c r="J42" s="7"/>
      <c r="K42" s="5"/>
      <c r="L42" s="7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">
      <c r="A43" s="5"/>
      <c r="B43" s="5" t="s">
        <v>42</v>
      </c>
      <c r="C43" s="6">
        <v>-1562</v>
      </c>
      <c r="D43" s="7"/>
      <c r="E43" s="6">
        <v>-3234</v>
      </c>
      <c r="F43" s="7"/>
      <c r="G43" s="6">
        <v>-2461</v>
      </c>
      <c r="H43" s="7"/>
      <c r="I43" s="6">
        <f>-9704-C43-E43-G43</f>
        <v>-2447</v>
      </c>
      <c r="J43" s="7"/>
      <c r="K43" s="6">
        <v>2456</v>
      </c>
      <c r="L43" s="7"/>
      <c r="M43" s="6">
        <v>-5564</v>
      </c>
      <c r="N43" s="5"/>
      <c r="O43" s="5"/>
      <c r="P43" s="5"/>
      <c r="Q43" s="5"/>
      <c r="R43" s="5"/>
      <c r="S43" s="5"/>
      <c r="T43" s="5"/>
      <c r="U43" s="5"/>
    </row>
    <row r="44" spans="1:21" x14ac:dyDescent="0.2">
      <c r="A44" s="5"/>
      <c r="B44" s="5" t="s">
        <v>43</v>
      </c>
      <c r="C44" s="5">
        <f>-C43/C38</f>
        <v>2.5974241932935904E-3</v>
      </c>
      <c r="D44" s="7"/>
      <c r="E44" s="5">
        <f>-E43/E38</f>
        <v>4.2778513387134965E-3</v>
      </c>
      <c r="F44" s="7"/>
      <c r="G44" s="5">
        <f>-G43/G38</f>
        <v>3.2947671974530822E-3</v>
      </c>
      <c r="H44" s="7"/>
      <c r="I44" s="5">
        <f>-I43/I38</f>
        <v>3.9048786248188786E-3</v>
      </c>
      <c r="J44" s="7"/>
      <c r="K44" s="5">
        <f>-K43/K38</f>
        <v>-4.4670058147465753E-3</v>
      </c>
      <c r="L44" s="7"/>
      <c r="M44" s="2">
        <v>-4.4669999999999996E-3</v>
      </c>
      <c r="N44" s="5"/>
      <c r="O44" s="5"/>
      <c r="P44" s="5"/>
      <c r="Q44" s="5"/>
      <c r="R44" s="5"/>
      <c r="S44" s="5"/>
      <c r="T44" s="5"/>
      <c r="U44" s="5"/>
    </row>
    <row r="45" spans="1:21" s="13" customFormat="1" x14ac:dyDescent="0.2">
      <c r="B45" s="9" t="s">
        <v>44</v>
      </c>
      <c r="C45" s="13">
        <f>C41*(1-C44)</f>
        <v>798873.5827026848</v>
      </c>
      <c r="D45" s="12"/>
      <c r="E45" s="13">
        <f>E41*(1-E44)</f>
        <v>953740.51142942929</v>
      </c>
      <c r="F45" s="12"/>
      <c r="G45" s="13">
        <f>G41*(1-G44)</f>
        <v>948327.15421277692</v>
      </c>
      <c r="H45" s="12"/>
      <c r="I45" s="13">
        <f>I41*(1-I44)</f>
        <v>827450.24075563462</v>
      </c>
      <c r="J45" s="12"/>
      <c r="K45" s="13">
        <f>K41*(1-K44)</f>
        <v>758737.21091324452</v>
      </c>
      <c r="L45" s="12"/>
      <c r="M45" s="13">
        <f>M41*(1-M44)</f>
        <v>1100329.3126119999</v>
      </c>
    </row>
    <row r="46" spans="1:21" x14ac:dyDescent="0.2">
      <c r="D46" s="7"/>
      <c r="F46" s="7"/>
      <c r="H46" s="7"/>
      <c r="J46" s="7"/>
      <c r="L46" s="7"/>
    </row>
    <row r="47" spans="1:21" x14ac:dyDescent="0.2">
      <c r="B47" s="13" t="s">
        <v>45</v>
      </c>
      <c r="C47" s="14">
        <f>C45+C24</f>
        <v>800006.5827026848</v>
      </c>
      <c r="D47" s="12"/>
      <c r="E47" s="14">
        <f>E45+E24</f>
        <v>954732.51142942929</v>
      </c>
      <c r="F47" s="12"/>
      <c r="G47" s="14">
        <f>G45+G24</f>
        <v>949335.15421277692</v>
      </c>
      <c r="H47" s="12"/>
      <c r="I47" s="14">
        <f>I45+I24</f>
        <v>828442.24075563462</v>
      </c>
      <c r="J47" s="12"/>
      <c r="K47" s="14">
        <f>K45+K24</f>
        <v>759733.21091324452</v>
      </c>
      <c r="L47" s="12"/>
      <c r="M47" s="14">
        <f>M45+M24</f>
        <v>1101070.3126119999</v>
      </c>
    </row>
    <row r="48" spans="1:21" x14ac:dyDescent="0.2">
      <c r="D48" s="7"/>
      <c r="F48" s="7"/>
      <c r="H48" s="7"/>
      <c r="J48" s="7"/>
      <c r="L48" s="7"/>
    </row>
    <row r="49" spans="2:13" x14ac:dyDescent="0.2">
      <c r="B49" t="s">
        <v>46</v>
      </c>
      <c r="C49" s="1">
        <v>-2410</v>
      </c>
      <c r="D49" s="7"/>
      <c r="E49" s="1">
        <f>-5076-C49</f>
        <v>-2666</v>
      </c>
      <c r="F49" s="7"/>
      <c r="G49" s="1">
        <f>-6442-E49-C49</f>
        <v>-1366</v>
      </c>
      <c r="H49" s="7"/>
      <c r="I49" s="1">
        <f>-7526-G49-E49-C49</f>
        <v>-1084</v>
      </c>
      <c r="J49" s="7"/>
      <c r="K49">
        <v>-156</v>
      </c>
      <c r="L49" s="7"/>
      <c r="M49">
        <f>-828-K49</f>
        <v>-672</v>
      </c>
    </row>
    <row r="50" spans="2:13" x14ac:dyDescent="0.2">
      <c r="B50" s="13" t="s">
        <v>47</v>
      </c>
      <c r="C50" s="14">
        <f>C47+C49</f>
        <v>797596.5827026848</v>
      </c>
      <c r="D50" s="12"/>
      <c r="E50" s="14">
        <f>E47+E49</f>
        <v>952066.51142942929</v>
      </c>
      <c r="F50" s="12"/>
      <c r="G50" s="14">
        <f>G47+G49</f>
        <v>947969.15421277692</v>
      </c>
      <c r="H50" s="12"/>
      <c r="I50" s="14">
        <f>I47+I49</f>
        <v>827358.24075563462</v>
      </c>
      <c r="J50" s="12"/>
      <c r="K50" s="14">
        <f>K47+K49</f>
        <v>759577.21091324452</v>
      </c>
      <c r="L50" s="12"/>
      <c r="M50" s="14">
        <f>M47+M49</f>
        <v>1100398.3126119999</v>
      </c>
    </row>
    <row r="51" spans="2:13" x14ac:dyDescent="0.2">
      <c r="D51" s="7"/>
      <c r="F51" s="7"/>
      <c r="H51" s="7"/>
      <c r="J51" s="7"/>
      <c r="L51" s="7"/>
    </row>
    <row r="52" spans="2:13" x14ac:dyDescent="0.2">
      <c r="B52" t="s">
        <v>48</v>
      </c>
      <c r="C52" s="1">
        <v>-5026</v>
      </c>
      <c r="D52" s="7"/>
      <c r="E52" s="1">
        <f>-20005-C52</f>
        <v>-14979</v>
      </c>
      <c r="F52" s="7"/>
      <c r="G52" s="1">
        <f>-5910-E52-C52</f>
        <v>14095</v>
      </c>
      <c r="H52" s="7"/>
      <c r="I52" s="1">
        <f>3736-G52-E52-C52</f>
        <v>9646</v>
      </c>
      <c r="J52" s="7"/>
      <c r="K52" s="1">
        <v>-6666</v>
      </c>
      <c r="L52" s="7"/>
      <c r="M52" s="1">
        <f>-6247-K52</f>
        <v>419</v>
      </c>
    </row>
    <row r="53" spans="2:13" x14ac:dyDescent="0.2">
      <c r="B53" t="s">
        <v>49</v>
      </c>
      <c r="C53" s="1">
        <v>-39510</v>
      </c>
      <c r="D53" s="7"/>
      <c r="E53" s="1">
        <f>-10670-C53</f>
        <v>28840</v>
      </c>
      <c r="F53" s="7"/>
      <c r="G53" s="1">
        <f>-39573-E53-C53</f>
        <v>-28903</v>
      </c>
      <c r="H53" s="7"/>
      <c r="I53" s="1">
        <f>-13443-G53-E53-C53</f>
        <v>26130</v>
      </c>
      <c r="J53" s="7"/>
      <c r="K53" s="1">
        <v>-22898</v>
      </c>
      <c r="L53" s="7"/>
      <c r="M53" s="1">
        <f>2610-K53</f>
        <v>25508</v>
      </c>
    </row>
    <row r="54" spans="2:13" x14ac:dyDescent="0.2">
      <c r="B54" t="s">
        <v>50</v>
      </c>
      <c r="C54" s="1">
        <v>-1524</v>
      </c>
      <c r="D54" s="7"/>
      <c r="E54" s="1">
        <f>3125-C54</f>
        <v>4649</v>
      </c>
      <c r="F54" s="7"/>
      <c r="G54" s="1">
        <f>-178-E54-C54</f>
        <v>-3303</v>
      </c>
      <c r="H54" s="7"/>
      <c r="I54" s="1">
        <f>-1505-G54-E54-C54</f>
        <v>-1327</v>
      </c>
      <c r="J54" s="7"/>
      <c r="K54">
        <v>83</v>
      </c>
      <c r="L54" s="7"/>
      <c r="M54" s="1">
        <f>-2305-K54</f>
        <v>-2388</v>
      </c>
    </row>
    <row r="55" spans="2:13" s="13" customFormat="1" x14ac:dyDescent="0.2">
      <c r="B55" s="13" t="s">
        <v>51</v>
      </c>
      <c r="C55" s="14">
        <f>C52+C53+C54</f>
        <v>-46060</v>
      </c>
      <c r="D55" s="12"/>
      <c r="E55" s="14">
        <f>E52+E53+E54</f>
        <v>18510</v>
      </c>
      <c r="F55" s="12"/>
      <c r="G55" s="14">
        <f>G52+G53+G54</f>
        <v>-18111</v>
      </c>
      <c r="H55" s="12"/>
      <c r="I55" s="14">
        <f>I52+I53+I54</f>
        <v>34449</v>
      </c>
      <c r="J55" s="12"/>
      <c r="K55" s="14">
        <f>K52+K53+K54</f>
        <v>-29481</v>
      </c>
      <c r="L55" s="12"/>
      <c r="M55" s="14">
        <f>M52+M53+M54</f>
        <v>23539</v>
      </c>
    </row>
    <row r="56" spans="2:13" x14ac:dyDescent="0.2">
      <c r="D56" s="7"/>
      <c r="F56" s="7"/>
      <c r="H56" s="7"/>
      <c r="J56" s="7"/>
      <c r="L56" s="7"/>
    </row>
    <row r="57" spans="2:13" s="13" customFormat="1" x14ac:dyDescent="0.2">
      <c r="B57" s="13" t="s">
        <v>52</v>
      </c>
      <c r="C57" s="14">
        <f>C50+C55</f>
        <v>751536.5827026848</v>
      </c>
      <c r="D57" s="12"/>
      <c r="E57" s="14">
        <f>E50+E55</f>
        <v>970576.51142942929</v>
      </c>
      <c r="F57" s="12"/>
      <c r="G57" s="14">
        <f>G50+G55</f>
        <v>929858.15421277692</v>
      </c>
      <c r="H57" s="12"/>
      <c r="I57" s="14">
        <f>I50+I55</f>
        <v>861807.24075563462</v>
      </c>
      <c r="J57" s="12"/>
      <c r="K57" s="14">
        <f>K50+K55</f>
        <v>730096.21091324452</v>
      </c>
      <c r="L57" s="12"/>
      <c r="M57" s="14">
        <f>M50+M55</f>
        <v>1123937.3126119999</v>
      </c>
    </row>
    <row r="60" spans="2:13" x14ac:dyDescent="0.2">
      <c r="B60" s="13"/>
    </row>
  </sheetData>
  <phoneticPr fontId="1" type="noConversion"/>
  <conditionalFormatting sqref="L1:L1048576">
    <cfRule type="cellIs" dxfId="9" priority="9" operator="lessThan">
      <formula>-5</formula>
    </cfRule>
    <cfRule type="cellIs" dxfId="8" priority="10" operator="greaterThan">
      <formula>5</formula>
    </cfRule>
  </conditionalFormatting>
  <conditionalFormatting sqref="J1:J1048576">
    <cfRule type="cellIs" dxfId="7" priority="7" operator="lessThan">
      <formula>-5</formula>
    </cfRule>
    <cfRule type="cellIs" dxfId="6" priority="8" operator="greaterThan">
      <formula>5</formula>
    </cfRule>
  </conditionalFormatting>
  <conditionalFormatting sqref="H1:H1048576">
    <cfRule type="cellIs" dxfId="5" priority="5" operator="lessThan">
      <formula>-5</formula>
    </cfRule>
    <cfRule type="cellIs" dxfId="4" priority="6" operator="greaterThan">
      <formula>5</formula>
    </cfRule>
  </conditionalFormatting>
  <conditionalFormatting sqref="F1:F1048576">
    <cfRule type="cellIs" dxfId="3" priority="3" operator="lessThan">
      <formula>-5</formula>
    </cfRule>
    <cfRule type="cellIs" dxfId="2" priority="4" operator="greaterThan">
      <formula>5</formula>
    </cfRule>
  </conditionalFormatting>
  <conditionalFormatting sqref="D1:D1048576">
    <cfRule type="cellIs" dxfId="1" priority="1" operator="lessThan">
      <formula>-5</formula>
    </cfRule>
    <cfRule type="cellIs" dxfId="0" priority="2" operator="greaterThan">
      <formula>5</formula>
    </cfRule>
  </conditionalFormatting>
  <pageMargins left="0.7" right="0.7" top="0.75" bottom="0.75" header="0.3" footer="0.3"/>
  <ignoredErrors>
    <ignoredError sqref="I17 I18:I20 I23:I28 E31:E35 G31:G35 I31:I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CD13-3700-0649-AA14-0A44E033C8EC}">
  <dimension ref="A1:H31"/>
  <sheetViews>
    <sheetView zoomScale="168" workbookViewId="0">
      <selection activeCell="G10" sqref="G10"/>
    </sheetView>
  </sheetViews>
  <sheetFormatPr baseColWidth="10" defaultRowHeight="16" x14ac:dyDescent="0.2"/>
  <cols>
    <col min="2" max="2" width="14.5" customWidth="1"/>
    <col min="3" max="3" width="14.83203125" customWidth="1"/>
    <col min="6" max="6" width="15.83203125" customWidth="1"/>
  </cols>
  <sheetData>
    <row r="1" spans="1:8" x14ac:dyDescent="0.2">
      <c r="B1" t="s">
        <v>53</v>
      </c>
      <c r="C1" t="s">
        <v>54</v>
      </c>
      <c r="D1" t="s">
        <v>55</v>
      </c>
    </row>
    <row r="2" spans="1:8" x14ac:dyDescent="0.2">
      <c r="A2">
        <v>1</v>
      </c>
      <c r="B2" t="s">
        <v>7</v>
      </c>
      <c r="C2" s="14">
        <f>'Balance Sheet'!C57</f>
        <v>751536.5827026848</v>
      </c>
      <c r="D2">
        <f>LOG(C2)</f>
        <v>5.8759501256803714</v>
      </c>
      <c r="F2" cm="1">
        <f t="array" ref="F2:G6">LINEST(D2:D7,A2:A7,TRUE,TRUE)</f>
        <v>1.3428691579977224E-2</v>
      </c>
      <c r="G2">
        <v>5.8998210676112128</v>
      </c>
    </row>
    <row r="3" spans="1:8" x14ac:dyDescent="0.2">
      <c r="A3">
        <v>2</v>
      </c>
      <c r="B3" t="s">
        <v>8</v>
      </c>
      <c r="C3" s="14">
        <f>'Balance Sheet'!E57</f>
        <v>970576.51142942929</v>
      </c>
      <c r="D3">
        <f>LOG(C3)</f>
        <v>5.9870297769030039</v>
      </c>
      <c r="F3">
        <v>1.7664417616963805E-2</v>
      </c>
      <c r="G3">
        <v>6.8793023055795918E-2</v>
      </c>
    </row>
    <row r="4" spans="1:8" x14ac:dyDescent="0.2">
      <c r="A4">
        <v>3</v>
      </c>
      <c r="B4" t="s">
        <v>10</v>
      </c>
      <c r="C4" s="14">
        <f>'Balance Sheet'!G57</f>
        <v>929858.15421277692</v>
      </c>
      <c r="D4">
        <f>LOG(C4)</f>
        <v>5.9684167038861338</v>
      </c>
      <c r="F4">
        <v>0.12624099905119274</v>
      </c>
      <c r="G4">
        <v>7.3895560560589643E-2</v>
      </c>
    </row>
    <row r="5" spans="1:8" x14ac:dyDescent="0.2">
      <c r="A5">
        <v>4</v>
      </c>
      <c r="B5" t="s">
        <v>9</v>
      </c>
      <c r="C5" s="14">
        <f>'Balance Sheet'!I57</f>
        <v>861807.24075563462</v>
      </c>
      <c r="D5">
        <f>LOG(C5)</f>
        <v>5.9354101386349276</v>
      </c>
      <c r="F5">
        <v>0.5779213669403519</v>
      </c>
      <c r="G5">
        <v>4</v>
      </c>
    </row>
    <row r="6" spans="1:8" x14ac:dyDescent="0.2">
      <c r="A6">
        <v>5</v>
      </c>
      <c r="B6" t="s">
        <v>5</v>
      </c>
      <c r="C6" s="14">
        <f>'Balance Sheet'!K57</f>
        <v>730096.21091324452</v>
      </c>
      <c r="D6">
        <f>LOG(C6)</f>
        <v>5.863380094525243</v>
      </c>
      <c r="F6">
        <v>3.155770757127644E-3</v>
      </c>
      <c r="G6">
        <v>2.1842215482255085E-2</v>
      </c>
    </row>
    <row r="7" spans="1:8" x14ac:dyDescent="0.2">
      <c r="A7">
        <v>6</v>
      </c>
      <c r="B7" t="s">
        <v>6</v>
      </c>
      <c r="C7" s="14">
        <f>'Balance Sheet'!M57</f>
        <v>1123937.3126119999</v>
      </c>
      <c r="D7">
        <f>LOG(C7)</f>
        <v>6.0507420892171098</v>
      </c>
    </row>
    <row r="8" spans="1:8" x14ac:dyDescent="0.2">
      <c r="F8" t="s">
        <v>56</v>
      </c>
      <c r="G8" t="s">
        <v>57</v>
      </c>
    </row>
    <row r="9" spans="1:8" x14ac:dyDescent="0.2">
      <c r="B9" s="16" t="s">
        <v>58</v>
      </c>
      <c r="C9" s="16"/>
      <c r="D9" s="16"/>
      <c r="F9">
        <f>EXP(F2)-1</f>
        <v>1.3519261416133244E-2</v>
      </c>
      <c r="G9">
        <f>F11</f>
        <v>5.5183585329837026E-2</v>
      </c>
    </row>
    <row r="10" spans="1:8" x14ac:dyDescent="0.2">
      <c r="B10" s="16"/>
      <c r="C10" s="16"/>
      <c r="D10" s="16"/>
      <c r="F10" t="s">
        <v>57</v>
      </c>
    </row>
    <row r="11" spans="1:8" x14ac:dyDescent="0.2">
      <c r="B11" s="16"/>
      <c r="C11" s="16"/>
      <c r="D11" s="16"/>
      <c r="F11">
        <f>POWER(1+F9,4)-1</f>
        <v>5.5183585329837026E-2</v>
      </c>
    </row>
    <row r="13" spans="1:8" x14ac:dyDescent="0.2">
      <c r="B13" t="s">
        <v>59</v>
      </c>
      <c r="C13" t="s">
        <v>61</v>
      </c>
      <c r="D13" t="s">
        <v>65</v>
      </c>
      <c r="F13" t="s">
        <v>62</v>
      </c>
      <c r="H13" t="s">
        <v>60</v>
      </c>
    </row>
    <row r="14" spans="1:8" x14ac:dyDescent="0.2">
      <c r="B14">
        <v>2025</v>
      </c>
      <c r="C14" s="1">
        <f>H14</f>
        <v>3645698.918493656</v>
      </c>
      <c r="D14" s="1">
        <f>H17</f>
        <v>3858968.8837917238</v>
      </c>
      <c r="F14">
        <f>AVERAGE(F17*(1+F9),C5*(1+F9))</f>
        <v>964154.72794845374</v>
      </c>
      <c r="H14" s="1">
        <f>C7+C6+C5+C4</f>
        <v>3645698.918493656</v>
      </c>
    </row>
    <row r="15" spans="1:8" x14ac:dyDescent="0.2">
      <c r="B15">
        <v>2026</v>
      </c>
      <c r="C15">
        <f>(1+G9)*C14</f>
        <v>3846881.6558492454</v>
      </c>
      <c r="D15">
        <f>(1+G9)*D14</f>
        <v>4071920.6224756301</v>
      </c>
    </row>
    <row r="16" spans="1:8" x14ac:dyDescent="0.2">
      <c r="B16">
        <v>2027</v>
      </c>
      <c r="C16">
        <f>(1+G9)*C15</f>
        <v>4059166.3779585869</v>
      </c>
      <c r="D16">
        <f>(1+G9)*D15</f>
        <v>4296623.8016023375</v>
      </c>
      <c r="F16" t="s">
        <v>63</v>
      </c>
      <c r="H16" t="s">
        <v>64</v>
      </c>
    </row>
    <row r="17" spans="2:8" x14ac:dyDescent="0.2">
      <c r="B17" s="17">
        <v>2028</v>
      </c>
      <c r="C17" s="17">
        <f>(1+G9)*C16</f>
        <v>4283165.7321446696</v>
      </c>
      <c r="D17" s="17">
        <f>(1+G9)*D16</f>
        <v>4533726.9077882692</v>
      </c>
      <c r="F17">
        <f>AVERAGE(C7*(1+F9),C4*(1+F9))</f>
        <v>1040780.6323180252</v>
      </c>
      <c r="H17" s="1">
        <f>C7+C6+F17+F14</f>
        <v>3858968.8837917238</v>
      </c>
    </row>
    <row r="18" spans="2:8" x14ac:dyDescent="0.2">
      <c r="B18">
        <v>2029</v>
      </c>
      <c r="C18">
        <f>(1+G9)*C17</f>
        <v>4519526.1738063088</v>
      </c>
      <c r="D18">
        <f>(1+G9)*D17</f>
        <v>4783914.2134663817</v>
      </c>
    </row>
    <row r="19" spans="2:8" x14ac:dyDescent="0.2">
      <c r="B19">
        <v>2030</v>
      </c>
      <c r="C19">
        <f>(1+G9)*C18</f>
        <v>4768929.8320689807</v>
      </c>
      <c r="D19">
        <f>(1+G9)*D18</f>
        <v>5047907.7516758237</v>
      </c>
    </row>
    <row r="21" spans="2:8" x14ac:dyDescent="0.2">
      <c r="B21" s="15" t="s">
        <v>66</v>
      </c>
      <c r="C21" s="15"/>
      <c r="D21">
        <f>(C17*(1+0.025))/(0.075-0.025)</f>
        <v>87804897.508965716</v>
      </c>
    </row>
    <row r="22" spans="2:8" x14ac:dyDescent="0.2">
      <c r="B22" s="18" t="s">
        <v>71</v>
      </c>
      <c r="C22" s="18"/>
      <c r="D22" s="17">
        <f>(C17*(1+0.03))/(0.075-0.03)</f>
        <v>98036904.535755783</v>
      </c>
      <c r="F22" s="19"/>
      <c r="G22" s="19"/>
    </row>
    <row r="23" spans="2:8" x14ac:dyDescent="0.2">
      <c r="B23" s="15" t="s">
        <v>72</v>
      </c>
      <c r="C23" s="15"/>
      <c r="D23">
        <f>(C17*(1+0.015))/(0.075-0.015)</f>
        <v>72456886.968780652</v>
      </c>
    </row>
    <row r="24" spans="2:8" x14ac:dyDescent="0.2">
      <c r="B24" s="15"/>
      <c r="C24" s="15"/>
    </row>
    <row r="25" spans="2:8" x14ac:dyDescent="0.2">
      <c r="B25" s="15" t="s">
        <v>70</v>
      </c>
      <c r="C25" s="15"/>
      <c r="D25">
        <f>(C17*(1+0.025))/(0.085-0.025)</f>
        <v>73170747.924138084</v>
      </c>
    </row>
    <row r="26" spans="2:8" x14ac:dyDescent="0.2">
      <c r="B26" s="18" t="s">
        <v>73</v>
      </c>
      <c r="C26" s="18"/>
      <c r="D26" s="17">
        <f>(C17*(1+0.03))/(0.085-0.03)</f>
        <v>80212012.801982</v>
      </c>
    </row>
    <row r="27" spans="2:8" x14ac:dyDescent="0.2">
      <c r="B27" s="15" t="s">
        <v>68</v>
      </c>
      <c r="C27" s="15"/>
      <c r="D27">
        <f>(C17*(1+0.015))/(0.085-0.015)</f>
        <v>62105903.116097696</v>
      </c>
    </row>
    <row r="28" spans="2:8" x14ac:dyDescent="0.2">
      <c r="B28" s="15"/>
      <c r="C28" s="15"/>
    </row>
    <row r="29" spans="2:8" x14ac:dyDescent="0.2">
      <c r="B29" s="15" t="s">
        <v>69</v>
      </c>
      <c r="C29" s="15"/>
      <c r="D29">
        <f>(C17*(1+0.025))/(0.065-0.025)</f>
        <v>109756121.88620713</v>
      </c>
    </row>
    <row r="30" spans="2:8" x14ac:dyDescent="0.2">
      <c r="B30" s="18" t="s">
        <v>67</v>
      </c>
      <c r="C30" s="18"/>
      <c r="D30" s="17">
        <f>(C17*(1+0.03))/(0.065-0.03)</f>
        <v>126047448.68882886</v>
      </c>
    </row>
    <row r="31" spans="2:8" x14ac:dyDescent="0.2">
      <c r="B31" s="15" t="s">
        <v>74</v>
      </c>
      <c r="C31" s="15"/>
      <c r="D31">
        <f>(C17*(1+0.015))/(0.065-0.015)</f>
        <v>86948264.362536773</v>
      </c>
    </row>
  </sheetData>
  <mergeCells count="12">
    <mergeCell ref="B31:C31"/>
    <mergeCell ref="B26:C26"/>
    <mergeCell ref="B27:C27"/>
    <mergeCell ref="B28:C28"/>
    <mergeCell ref="B24:C24"/>
    <mergeCell ref="B29:C29"/>
    <mergeCell ref="B30:C30"/>
    <mergeCell ref="B9:D11"/>
    <mergeCell ref="B21:C21"/>
    <mergeCell ref="B22:C22"/>
    <mergeCell ref="B23:C23"/>
    <mergeCell ref="B25:C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4DAF-2808-A347-A8FC-56A15F7409DB}">
  <dimension ref="A3:I26"/>
  <sheetViews>
    <sheetView topLeftCell="A11" zoomScale="214" workbookViewId="0">
      <selection activeCell="C23" sqref="C23"/>
    </sheetView>
  </sheetViews>
  <sheetFormatPr baseColWidth="10" defaultRowHeight="16" x14ac:dyDescent="0.2"/>
  <cols>
    <col min="4" max="4" width="11.5" customWidth="1"/>
    <col min="5" max="5" width="12" customWidth="1"/>
    <col min="6" max="6" width="12.6640625" bestFit="1" customWidth="1"/>
  </cols>
  <sheetData>
    <row r="3" spans="1:9" x14ac:dyDescent="0.2">
      <c r="A3" t="s">
        <v>77</v>
      </c>
      <c r="B3" t="s">
        <v>75</v>
      </c>
      <c r="C3" t="s">
        <v>54</v>
      </c>
      <c r="D3" t="s">
        <v>80</v>
      </c>
      <c r="E3" t="s">
        <v>81</v>
      </c>
      <c r="F3" t="s">
        <v>84</v>
      </c>
      <c r="G3" t="s">
        <v>85</v>
      </c>
      <c r="H3" t="s">
        <v>89</v>
      </c>
      <c r="I3" t="s">
        <v>93</v>
      </c>
    </row>
    <row r="4" spans="1:9" x14ac:dyDescent="0.2">
      <c r="A4">
        <v>1</v>
      </c>
      <c r="B4">
        <v>2025</v>
      </c>
      <c r="C4" s="6">
        <f>'DCF Calculations'!C14</f>
        <v>3645698.918493656</v>
      </c>
      <c r="D4">
        <f>1/(POWER((1+C11),A4))</f>
        <v>0.93023255813953487</v>
      </c>
      <c r="E4">
        <f>C4*D4</f>
        <v>3391347.8311568894</v>
      </c>
      <c r="F4">
        <f>1/(POWER((1+C17),A4))</f>
        <v>0.92165898617511521</v>
      </c>
      <c r="G4" s="2">
        <f>C4*F4</f>
        <v>3360091.1691185771</v>
      </c>
      <c r="H4">
        <f>1/(POWER((1+C23),A4))</f>
        <v>0.92592592592592582</v>
      </c>
      <c r="I4">
        <f>C4*H4</f>
        <v>3375647.1467533847</v>
      </c>
    </row>
    <row r="5" spans="1:9" x14ac:dyDescent="0.2">
      <c r="A5">
        <v>2</v>
      </c>
      <c r="B5">
        <v>2026</v>
      </c>
      <c r="C5" s="5">
        <f>'DCF Calculations'!C15</f>
        <v>3846881.6558492454</v>
      </c>
      <c r="D5">
        <f>1/(POWER((1+C11),A5))</f>
        <v>0.86533261222282321</v>
      </c>
      <c r="E5">
        <f>C5*D5</f>
        <v>3328832.1521680872</v>
      </c>
      <c r="F5">
        <f>1/(POWER((1+C17),A5))</f>
        <v>0.84945528679734128</v>
      </c>
      <c r="G5" s="2">
        <f>C5*F5</f>
        <v>3267753.9602448517</v>
      </c>
      <c r="H5">
        <f>1/(POWER((1+C23),A5))</f>
        <v>0.85733882030178321</v>
      </c>
      <c r="I5">
        <f>C5*H5</f>
        <v>3298080.9806663622</v>
      </c>
    </row>
    <row r="6" spans="1:9" x14ac:dyDescent="0.2">
      <c r="A6">
        <v>3</v>
      </c>
      <c r="B6">
        <v>2027</v>
      </c>
      <c r="C6" s="5">
        <f>'DCF Calculations'!C16</f>
        <v>4059166.3779585869</v>
      </c>
      <c r="D6">
        <f>1/(POWER((1+C11),A6))</f>
        <v>0.80496056950960304</v>
      </c>
      <c r="E6">
        <f>C6*D6</f>
        <v>3267468.8793357769</v>
      </c>
      <c r="F6">
        <f>1/(POWER((1+C17),A6))</f>
        <v>0.78290809843072917</v>
      </c>
      <c r="G6" s="2">
        <f>C6*F6</f>
        <v>3177954.2301815078</v>
      </c>
      <c r="H6">
        <f>1/(POWER((1+C23),A6))</f>
        <v>0.79383224102016958</v>
      </c>
      <c r="I6">
        <f>C6*H6</f>
        <v>3222297.1424885895</v>
      </c>
    </row>
    <row r="7" spans="1:9" x14ac:dyDescent="0.2">
      <c r="A7">
        <v>4</v>
      </c>
      <c r="B7">
        <v>2028</v>
      </c>
      <c r="C7" s="5">
        <f>'DCF Calculations'!C17</f>
        <v>4283165.7321446696</v>
      </c>
      <c r="D7">
        <f>1/(POWER((1+C11),A7))</f>
        <v>0.7488005297763749</v>
      </c>
      <c r="E7">
        <f>C7*D7</f>
        <v>3207236.7693499434</v>
      </c>
      <c r="F7">
        <f>1/(POWER((1+C17),A7))</f>
        <v>0.72157428426795334</v>
      </c>
      <c r="G7" s="2">
        <f>C7*F7</f>
        <v>3090622.2475733142</v>
      </c>
      <c r="H7">
        <f>1/(POWER((1+C23),A7))</f>
        <v>0.73502985279645328</v>
      </c>
      <c r="I7">
        <f>C7*H7</f>
        <v>3148254.6776011097</v>
      </c>
    </row>
    <row r="10" spans="1:9" x14ac:dyDescent="0.2">
      <c r="B10" t="s">
        <v>79</v>
      </c>
      <c r="C10">
        <v>0.03</v>
      </c>
      <c r="E10" t="s">
        <v>94</v>
      </c>
      <c r="F10" s="1">
        <f>'Balance Sheet'!M10</f>
        <v>16922273</v>
      </c>
    </row>
    <row r="11" spans="1:9" x14ac:dyDescent="0.2">
      <c r="B11" t="s">
        <v>78</v>
      </c>
      <c r="C11">
        <v>7.4999999999999997E-2</v>
      </c>
      <c r="E11" t="s">
        <v>96</v>
      </c>
      <c r="F11" s="1">
        <v>1066369778</v>
      </c>
    </row>
    <row r="12" spans="1:9" x14ac:dyDescent="0.2">
      <c r="B12" t="s">
        <v>76</v>
      </c>
      <c r="C12">
        <f>('DCF Calculations'!C17*(1+C10)/(C11-C10))</f>
        <v>98036904.535755783</v>
      </c>
    </row>
    <row r="13" spans="1:9" x14ac:dyDescent="0.2">
      <c r="B13" t="s">
        <v>83</v>
      </c>
      <c r="C13">
        <f>D7*C12</f>
        <v>73410086.054009825</v>
      </c>
    </row>
    <row r="14" spans="1:9" x14ac:dyDescent="0.2">
      <c r="B14" t="s">
        <v>82</v>
      </c>
      <c r="C14">
        <f>SUM(E4:E7,C13)</f>
        <v>86604971.686020523</v>
      </c>
      <c r="E14" t="s">
        <v>95</v>
      </c>
      <c r="F14" s="1">
        <f>C14-F10</f>
        <v>69682698.686020523</v>
      </c>
      <c r="H14" t="s">
        <v>97</v>
      </c>
      <c r="I14">
        <f>F14*1000/F11</f>
        <v>65.345717896011607</v>
      </c>
    </row>
    <row r="16" spans="1:9" x14ac:dyDescent="0.2">
      <c r="B16" t="s">
        <v>86</v>
      </c>
      <c r="C16">
        <v>0.03</v>
      </c>
      <c r="G16" s="1"/>
    </row>
    <row r="17" spans="2:9" x14ac:dyDescent="0.2">
      <c r="B17" t="s">
        <v>87</v>
      </c>
      <c r="C17">
        <v>8.5000000000000006E-2</v>
      </c>
    </row>
    <row r="18" spans="2:9" x14ac:dyDescent="0.2">
      <c r="B18" t="s">
        <v>76</v>
      </c>
      <c r="C18">
        <f>('DCF Calculations'!C17*(1+C16)/(C17-C16))</f>
        <v>80212012.801982</v>
      </c>
    </row>
    <row r="19" spans="2:9" x14ac:dyDescent="0.2">
      <c r="B19" t="s">
        <v>83</v>
      </c>
      <c r="C19">
        <f>F7*C18</f>
        <v>57878925.72728207</v>
      </c>
    </row>
    <row r="20" spans="2:9" x14ac:dyDescent="0.2">
      <c r="B20" t="s">
        <v>88</v>
      </c>
      <c r="C20">
        <f>SUM(G4:G7,C19)</f>
        <v>70775347.334400326</v>
      </c>
      <c r="E20" t="s">
        <v>95</v>
      </c>
      <c r="F20" s="1">
        <f>C20-F10</f>
        <v>53853074.334400326</v>
      </c>
      <c r="H20" t="s">
        <v>97</v>
      </c>
      <c r="I20">
        <f>F20*1000/F11</f>
        <v>50.501313376869099</v>
      </c>
    </row>
    <row r="22" spans="2:9" x14ac:dyDescent="0.2">
      <c r="B22" s="2" t="s">
        <v>90</v>
      </c>
      <c r="C22" s="2">
        <v>2.5000000000000001E-2</v>
      </c>
    </row>
    <row r="23" spans="2:9" x14ac:dyDescent="0.2">
      <c r="B23" s="2" t="s">
        <v>91</v>
      </c>
      <c r="C23" s="2">
        <v>0.08</v>
      </c>
    </row>
    <row r="24" spans="2:9" x14ac:dyDescent="0.2">
      <c r="B24" s="2" t="s">
        <v>76</v>
      </c>
      <c r="C24" s="2">
        <f>('DCF Calculations'!C17*(1+C22)/(C23-C22))</f>
        <v>79822634.099059731</v>
      </c>
    </row>
    <row r="25" spans="2:9" x14ac:dyDescent="0.2">
      <c r="B25" s="2" t="s">
        <v>83</v>
      </c>
      <c r="C25" s="2">
        <f>H7*C24</f>
        <v>58672018.991657026</v>
      </c>
    </row>
    <row r="26" spans="2:9" x14ac:dyDescent="0.2">
      <c r="B26" s="2" t="s">
        <v>92</v>
      </c>
      <c r="C26" s="2">
        <f>SUM(H4:H7,C25)</f>
        <v>58672022.303783864</v>
      </c>
      <c r="E26" t="s">
        <v>95</v>
      </c>
      <c r="F26" s="1">
        <f>C26-F10</f>
        <v>41749749.303783864</v>
      </c>
      <c r="H26" t="s">
        <v>97</v>
      </c>
      <c r="I26">
        <f>F26*1000/F11</f>
        <v>39.151287072376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DCF Calculations</vt:lpstr>
      <vt:lpstr>DCF Calculations (Continued)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2025-10-12T03:35:12Z</dcterms:created>
  <dcterms:modified xsi:type="dcterms:W3CDTF">2025-10-12T08:50:45Z</dcterms:modified>
</cp:coreProperties>
</file>