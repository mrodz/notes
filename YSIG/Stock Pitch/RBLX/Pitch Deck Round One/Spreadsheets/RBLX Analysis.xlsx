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/Downloads/"/>
    </mc:Choice>
  </mc:AlternateContent>
  <xr:revisionPtr revIDLastSave="0" documentId="8_{A748AC73-7403-2245-A830-45691D235D1A}" xr6:coauthVersionLast="47" xr6:coauthVersionMax="47" xr10:uidLastSave="{00000000-0000-0000-0000-000000000000}"/>
  <bookViews>
    <workbookView xWindow="0" yWindow="760" windowWidth="34560" windowHeight="20160" activeTab="1" xr2:uid="{F0B47FEF-7E4B-0F45-8E5F-95A1124C315F}"/>
  </bookViews>
  <sheets>
    <sheet name="DAU" sheetId="1" r:id="rId1"/>
    <sheet name="ABPDAU" sheetId="2" r:id="rId2"/>
    <sheet name="BOOKINGS" sheetId="3" r:id="rId3"/>
    <sheet name="REVENUE" sheetId="4" r:id="rId4"/>
    <sheet name="BOOKINGS TO REVENUE" sheetId="5" r:id="rId5"/>
  </sheets>
  <definedNames>
    <definedName name="_xlchart.v1.0" hidden="1">REVENUE!$B$3:$B$6</definedName>
    <definedName name="_xlchart.v1.1" hidden="1">REVENUE!$K$2</definedName>
    <definedName name="_xlchart.v1.2" hidden="1">REVENUE!$K$3:$K$6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M3" i="4"/>
  <c r="K10" i="5"/>
  <c r="K11" i="5"/>
  <c r="K12" i="5"/>
  <c r="K13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C11" i="5"/>
  <c r="C12" i="5"/>
  <c r="C13" i="5"/>
  <c r="C10" i="5"/>
  <c r="D3" i="5"/>
  <c r="E3" i="5"/>
  <c r="F3" i="5"/>
  <c r="G3" i="5"/>
  <c r="H3" i="5"/>
  <c r="I3" i="5"/>
  <c r="J3" i="5"/>
  <c r="K3" i="5"/>
  <c r="D4" i="5"/>
  <c r="E4" i="5"/>
  <c r="F4" i="5"/>
  <c r="G4" i="5"/>
  <c r="H4" i="5"/>
  <c r="I4" i="5"/>
  <c r="J4" i="5"/>
  <c r="K4" i="5"/>
  <c r="D5" i="5"/>
  <c r="E5" i="5"/>
  <c r="F5" i="5"/>
  <c r="G5" i="5"/>
  <c r="H5" i="5"/>
  <c r="I5" i="5"/>
  <c r="J5" i="5"/>
  <c r="K5" i="5"/>
  <c r="D6" i="5"/>
  <c r="E6" i="5"/>
  <c r="F6" i="5"/>
  <c r="G6" i="5"/>
  <c r="H6" i="5"/>
  <c r="I6" i="5"/>
  <c r="J6" i="5"/>
  <c r="K6" i="5"/>
  <c r="C3" i="5"/>
  <c r="C4" i="5"/>
  <c r="C5" i="5"/>
  <c r="C6" i="5"/>
  <c r="C7" i="4"/>
  <c r="D7" i="4"/>
  <c r="E7" i="4"/>
  <c r="F7" i="4"/>
  <c r="G7" i="4"/>
  <c r="H7" i="4"/>
  <c r="I7" i="4"/>
  <c r="J7" i="4"/>
  <c r="K7" i="4"/>
  <c r="K7" i="3"/>
  <c r="J7" i="3"/>
  <c r="I7" i="3"/>
  <c r="H7" i="3"/>
  <c r="G7" i="3"/>
  <c r="F7" i="3"/>
  <c r="E7" i="3"/>
  <c r="D7" i="3"/>
  <c r="C7" i="3"/>
  <c r="K7" i="2"/>
  <c r="J7" i="2"/>
  <c r="I7" i="2"/>
  <c r="H7" i="2"/>
  <c r="G7" i="2"/>
  <c r="F7" i="2"/>
  <c r="E7" i="2"/>
  <c r="D7" i="2"/>
  <c r="C7" i="2"/>
  <c r="D7" i="1"/>
  <c r="E7" i="1"/>
  <c r="F7" i="1"/>
  <c r="G7" i="1"/>
  <c r="H7" i="1"/>
  <c r="I7" i="1"/>
  <c r="J7" i="1"/>
  <c r="K7" i="1"/>
  <c r="C7" i="1"/>
</calcChain>
</file>

<file path=xl/sharedStrings.xml><?xml version="1.0" encoding="utf-8"?>
<sst xmlns="http://schemas.openxmlformats.org/spreadsheetml/2006/main" count="88" uniqueCount="15">
  <si>
    <t>UCAN</t>
  </si>
  <si>
    <t>EUROPE</t>
  </si>
  <si>
    <t>APAC</t>
  </si>
  <si>
    <t>REST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</si>
  <si>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</si>
  <si>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</si>
  <si>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</si>
  <si>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</si>
  <si>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</si>
  <si>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</si>
  <si>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</si>
  <si>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</si>
  <si>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</si>
  <si>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TOTAL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</si>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</sst>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4">
    <border>
      <left/>
      <right/>
      <top/>
      <bottom/>
      <diagonal/>
    </border>
    <border>
      <left/>
      <right/>
      <top style="thin">
        <color rgb="FF156082"/>
      </top>
      <bottom/>
      <diagonal/>
    </border>
    <border>
      <left/>
      <right/>
      <top style="thin">
        <color rgb="FF156082"/>
      </top>
      <bottom style="thin">
        <color rgb="FF156082"/>
      </bottom>
      <diagonal/>
    </border>
    <border>
      <left/>
      <right style="thin">
        <color rgb="FF156082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2" fillId="2" borderId="0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15608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15608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15608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15608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15608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15608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15608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15608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15608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/>
        <top style="thin">
          <color rgb="FF156082"/>
        </top>
        <bottom/>
        <vertical/>
        <horizontal/>
      </border>
    </dxf>
    <dxf>
      <border outline="0">
        <left style="thin">
          <color rgb="FF156082"/>
        </left>
        <top style="thin">
          <color rgb="FF156082"/>
        </top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Active Users and Average Bookings per DAU - UCAN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ABPDAU (Dollars)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5937519640169819E-2"/>
                  <c:y val="-5.92455813113877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DAU!$C$2:$K$2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DAU!$C$3:$K$3</c:f>
              <c:numCache>
                <c:formatCode>General</c:formatCode>
                <c:ptCount val="9"/>
                <c:pt idx="0">
                  <c:v>15.7</c:v>
                </c:pt>
                <c:pt idx="1">
                  <c:v>15.6</c:v>
                </c:pt>
                <c:pt idx="2">
                  <c:v>16.2</c:v>
                </c:pt>
                <c:pt idx="3">
                  <c:v>17.100000000000001</c:v>
                </c:pt>
                <c:pt idx="4">
                  <c:v>19.7</c:v>
                </c:pt>
                <c:pt idx="5">
                  <c:v>18</c:v>
                </c:pt>
                <c:pt idx="6">
                  <c:v>19.7</c:v>
                </c:pt>
                <c:pt idx="7">
                  <c:v>20.6</c:v>
                </c:pt>
                <c:pt idx="8">
                  <c:v>26.1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7-6543-9480-2953B20397BE}"/>
            </c:ext>
          </c:extLst>
        </c:ser>
        <c:ser>
          <c:idx val="1"/>
          <c:order val="1"/>
          <c:tx>
            <c:v>DAU (Millions)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DAU!$C$2:$K$2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ABPDAU!$C$3:$K$3</c:f>
              <c:numCache>
                <c:formatCode>General</c:formatCode>
                <c:ptCount val="9"/>
                <c:pt idx="0">
                  <c:v>33.53</c:v>
                </c:pt>
                <c:pt idx="1">
                  <c:v>46.56</c:v>
                </c:pt>
                <c:pt idx="2">
                  <c:v>33.950000000000003</c:v>
                </c:pt>
                <c:pt idx="3">
                  <c:v>34.36</c:v>
                </c:pt>
                <c:pt idx="4">
                  <c:v>35.51</c:v>
                </c:pt>
                <c:pt idx="5">
                  <c:v>47.79</c:v>
                </c:pt>
                <c:pt idx="6">
                  <c:v>36.46</c:v>
                </c:pt>
                <c:pt idx="7">
                  <c:v>40.69</c:v>
                </c:pt>
                <c:pt idx="8">
                  <c:v>40.18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7-6543-9480-2953B2039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07888"/>
        <c:axId val="48509600"/>
      </c:barChart>
      <c:catAx>
        <c:axId val="4850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9600"/>
        <c:crosses val="autoZero"/>
        <c:auto val="1"/>
        <c:lblAlgn val="ctr"/>
        <c:lblOffset val="100"/>
        <c:noMultiLvlLbl val="0"/>
      </c:catAx>
      <c:valAx>
        <c:axId val="485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Active Users and Average Bookings per DAU - Europe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ABPDAU (Dollars)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8081451712276399E-2"/>
                  <c:y val="-4.12436081147128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ABPDAU!$C$2:$K$2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ABPDAU!$C$4:$K$4</c:f>
              <c:numCache>
                <c:formatCode>General</c:formatCode>
                <c:ptCount val="9"/>
                <c:pt idx="0">
                  <c:v>8.3800000000000008</c:v>
                </c:pt>
                <c:pt idx="1">
                  <c:v>10.23</c:v>
                </c:pt>
                <c:pt idx="2">
                  <c:v>8.44</c:v>
                </c:pt>
                <c:pt idx="3">
                  <c:v>8.91</c:v>
                </c:pt>
                <c:pt idx="4">
                  <c:v>9.9</c:v>
                </c:pt>
                <c:pt idx="5">
                  <c:v>11.95</c:v>
                </c:pt>
                <c:pt idx="6">
                  <c:v>9.8800000000000008</c:v>
                </c:pt>
                <c:pt idx="7">
                  <c:v>11.49</c:v>
                </c:pt>
                <c:pt idx="8">
                  <c:v>12.04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5-1F44-8FDE-471B09D79DDB}"/>
            </c:ext>
          </c:extLst>
        </c:ser>
        <c:ser>
          <c:idx val="1"/>
          <c:order val="1"/>
          <c:tx>
            <c:v>DAU (Millions)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ABPDAU!$C$2:$K$2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DAU!$C$4:$K$4</c:f>
              <c:numCache>
                <c:formatCode>General</c:formatCode>
                <c:ptCount val="9"/>
                <c:pt idx="0">
                  <c:v>18.899999999999999</c:v>
                </c:pt>
                <c:pt idx="1">
                  <c:v>20</c:v>
                </c:pt>
                <c:pt idx="2">
                  <c:v>21.4</c:v>
                </c:pt>
                <c:pt idx="3">
                  <c:v>20.6</c:v>
                </c:pt>
                <c:pt idx="4">
                  <c:v>21.7</c:v>
                </c:pt>
                <c:pt idx="5">
                  <c:v>21.1</c:v>
                </c:pt>
                <c:pt idx="6">
                  <c:v>23.6</c:v>
                </c:pt>
                <c:pt idx="7">
                  <c:v>25.5</c:v>
                </c:pt>
                <c:pt idx="8">
                  <c:v>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5-1F44-8FDE-471B09D79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07888"/>
        <c:axId val="48509600"/>
      </c:barChart>
      <c:catAx>
        <c:axId val="4850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9600"/>
        <c:crosses val="autoZero"/>
        <c:auto val="1"/>
        <c:lblAlgn val="ctr"/>
        <c:lblOffset val="100"/>
        <c:noMultiLvlLbl val="0"/>
      </c:catAx>
      <c:valAx>
        <c:axId val="485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Active Users and Average Bookings per DAU - APAC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ABPDAU (Dollars)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661419555596466E-2"/>
                  <c:y val="-3.664225704983427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</a:t>
                    </a:r>
                    <a:r>
                      <a:rPr lang="en-US" baseline="0">
                        <a:solidFill>
                          <a:srgbClr val="FF0000"/>
                        </a:solidFill>
                      </a:rPr>
                      <a:t>-0.054x</a:t>
                    </a:r>
                    <a:r>
                      <a:rPr lang="en-US" baseline="0"/>
                      <a:t>+</a:t>
                    </a:r>
                    <a:r>
                      <a:rPr lang="el-GR" baseline="0"/>
                      <a:t>β</a:t>
                    </a:r>
                    <a:r>
                      <a:rPr lang="en-US" baseline="0"/>
                      <a:t> </a:t>
                    </a:r>
                    <a:br>
                      <a:rPr lang="en-US" baseline="0"/>
                    </a:br>
                    <a:r>
                      <a:rPr lang="en-US" baseline="0"/>
                      <a:t>R² = 0.0848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ABPDAU!$C$2:$K$2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ABPDAU!$C$5:$K$5</c:f>
              <c:numCache>
                <c:formatCode>General</c:formatCode>
                <c:ptCount val="9"/>
                <c:pt idx="0">
                  <c:v>5.24</c:v>
                </c:pt>
                <c:pt idx="1">
                  <c:v>6.3</c:v>
                </c:pt>
                <c:pt idx="2">
                  <c:v>5.67</c:v>
                </c:pt>
                <c:pt idx="3">
                  <c:v>5</c:v>
                </c:pt>
                <c:pt idx="4">
                  <c:v>5.21</c:v>
                </c:pt>
                <c:pt idx="5">
                  <c:v>6.29</c:v>
                </c:pt>
                <c:pt idx="6">
                  <c:v>5.37</c:v>
                </c:pt>
                <c:pt idx="7">
                  <c:v>4.95</c:v>
                </c:pt>
                <c:pt idx="8">
                  <c:v>5.27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FC45-BC0E-C96BF908893A}"/>
            </c:ext>
          </c:extLst>
        </c:ser>
        <c:ser>
          <c:idx val="1"/>
          <c:order val="1"/>
          <c:tx>
            <c:v>DAU (Millions)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ABPDAU!$C$2:$K$2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DAU!$C$5:$K$5</c:f>
              <c:numCache>
                <c:formatCode>General</c:formatCode>
                <c:ptCount val="9"/>
                <c:pt idx="0">
                  <c:v>16.2</c:v>
                </c:pt>
                <c:pt idx="1">
                  <c:v>17.2</c:v>
                </c:pt>
                <c:pt idx="2">
                  <c:v>18.8</c:v>
                </c:pt>
                <c:pt idx="3">
                  <c:v>20.2</c:v>
                </c:pt>
                <c:pt idx="4">
                  <c:v>22.3</c:v>
                </c:pt>
                <c:pt idx="5">
                  <c:v>22.3</c:v>
                </c:pt>
                <c:pt idx="6">
                  <c:v>26.3</c:v>
                </c:pt>
                <c:pt idx="7">
                  <c:v>35.6</c:v>
                </c:pt>
                <c:pt idx="8">
                  <c:v>46.3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A-FC45-BC0E-C96BF9088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07888"/>
        <c:axId val="48509600"/>
      </c:barChart>
      <c:catAx>
        <c:axId val="4850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9600"/>
        <c:crosses val="autoZero"/>
        <c:auto val="1"/>
        <c:lblAlgn val="ctr"/>
        <c:lblOffset val="100"/>
        <c:noMultiLvlLbl val="0"/>
      </c:catAx>
      <c:valAx>
        <c:axId val="485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Active Users and Average Bookings per DAU - Rest of the World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ABPDAU (Dollars)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42117877144459E-2"/>
                  <c:y val="-3.801563939141474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</a:t>
                    </a:r>
                    <a:r>
                      <a:rPr lang="en-US" baseline="0">
                        <a:solidFill>
                          <a:srgbClr val="FF0000"/>
                        </a:solidFill>
                      </a:rPr>
                      <a:t>0.0788x</a:t>
                    </a:r>
                    <a:r>
                      <a:rPr lang="en-US" baseline="0"/>
                      <a:t>+</a:t>
                    </a:r>
                    <a:r>
                      <a:rPr lang="el-GR" baseline="0"/>
                      <a:t>β</a:t>
                    </a:r>
                    <a:br>
                      <a:rPr lang="en-US" baseline="0"/>
                    </a:br>
                    <a:r>
                      <a:rPr lang="en-US" baseline="0"/>
                      <a:t>R² = 0.2664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ABPDAU!$C$2:$K$2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ABPDAU!$C$6:$K$6</c:f>
              <c:numCache>
                <c:formatCode>General</c:formatCode>
                <c:ptCount val="9"/>
                <c:pt idx="0">
                  <c:v>3.63</c:v>
                </c:pt>
                <c:pt idx="1">
                  <c:v>4.6100000000000003</c:v>
                </c:pt>
                <c:pt idx="2">
                  <c:v>4.05</c:v>
                </c:pt>
                <c:pt idx="3">
                  <c:v>3.84</c:v>
                </c:pt>
                <c:pt idx="4">
                  <c:v>3.84</c:v>
                </c:pt>
                <c:pt idx="5">
                  <c:v>4.51</c:v>
                </c:pt>
                <c:pt idx="6">
                  <c:v>4.0199999999999996</c:v>
                </c:pt>
                <c:pt idx="7">
                  <c:v>4.29</c:v>
                </c:pt>
                <c:pt idx="8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8-4640-920B-01C55FF24DAB}"/>
            </c:ext>
          </c:extLst>
        </c:ser>
        <c:ser>
          <c:idx val="1"/>
          <c:order val="1"/>
          <c:tx>
            <c:v>DAU (Millions)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ABPDAU!$C$2:$K$2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DAU!$C$6:$K$6</c:f>
              <c:numCache>
                <c:formatCode>General</c:formatCode>
                <c:ptCount val="9"/>
                <c:pt idx="0">
                  <c:v>19.399999999999999</c:v>
                </c:pt>
                <c:pt idx="1">
                  <c:v>18.7</c:v>
                </c:pt>
                <c:pt idx="2">
                  <c:v>21.3</c:v>
                </c:pt>
                <c:pt idx="3">
                  <c:v>21.6</c:v>
                </c:pt>
                <c:pt idx="4">
                  <c:v>25.2</c:v>
                </c:pt>
                <c:pt idx="5">
                  <c:v>23.8</c:v>
                </c:pt>
                <c:pt idx="6">
                  <c:v>28.2</c:v>
                </c:pt>
                <c:pt idx="7">
                  <c:v>30</c:v>
                </c:pt>
                <c:pt idx="8">
                  <c:v>45.2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8-4640-920B-01C55FF24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07888"/>
        <c:axId val="48509600"/>
      </c:barChart>
      <c:catAx>
        <c:axId val="4850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9600"/>
        <c:crosses val="autoZero"/>
        <c:auto val="1"/>
        <c:lblAlgn val="ctr"/>
        <c:lblOffset val="100"/>
        <c:noMultiLvlLbl val="0"/>
      </c:catAx>
      <c:valAx>
        <c:axId val="485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Q3 Revenue</a:t>
            </a:r>
            <a:r>
              <a:rPr lang="en-US" baseline="0"/>
              <a:t> Split/Region</a:t>
            </a:r>
            <a:endParaRPr lang="en-US"/>
          </a:p>
        </c:rich>
      </c:tx>
      <c:layout>
        <c:manualLayout>
          <c:xMode val="edge"/>
          <c:yMode val="edge"/>
          <c:x val="0.20915582741766697"/>
          <c:y val="1.9345235375154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REVENUE!$K$2</c:f>
              <c:strCache>
                <c:ptCount val="1"/>
                <c:pt idx="0">
                  <c:v>2025 Q3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AA10-6742-992C-6562E9FA81E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AA10-6742-992C-6562E9FA81E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AA10-6742-992C-6562E9FA81E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A10-6742-992C-6562E9FA81E1}"/>
              </c:ext>
            </c:extLst>
          </c:dPt>
          <c:dLbls>
            <c:dLbl>
              <c:idx val="0"/>
              <c:layout>
                <c:manualLayout>
                  <c:x val="-3.4691887859527905E-2"/>
                  <c:y val="0.20119044790160556"/>
                </c:manualLayout>
              </c:layout>
              <c:tx>
                <c:rich>
                  <a:bodyPr/>
                  <a:lstStyle/>
                  <a:p>
                    <a:fld id="{2F928FFE-8854-2C49-B61C-B42716FBA47E}" type="VALUE">
                      <a:rPr lang="en-US"/>
                      <a:pPr/>
                      <a:t>[VALUE]</a:t>
                    </a:fld>
                    <a:r>
                      <a:rPr lang="en-US"/>
                      <a:t>M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AA10-6742-992C-6562E9FA81E1}"/>
                </c:ext>
              </c:extLst>
            </c:dLbl>
            <c:dLbl>
              <c:idx val="1"/>
              <c:layout>
                <c:manualLayout>
                  <c:x val="1.8922847923378856E-2"/>
                  <c:y val="0.14702378885117329"/>
                </c:manualLayout>
              </c:layout>
              <c:tx>
                <c:rich>
                  <a:bodyPr/>
                  <a:lstStyle/>
                  <a:p>
                    <a:fld id="{38FD8890-AD4A-F74E-B9CA-C96313773A80}" type="VALUE">
                      <a:rPr lang="en-US"/>
                      <a:pPr/>
                      <a:t>[VALUE]</a:t>
                    </a:fld>
                    <a:r>
                      <a:rPr lang="en-US"/>
                      <a:t>M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AA10-6742-992C-6562E9FA81E1}"/>
                </c:ext>
              </c:extLst>
            </c:dLbl>
            <c:dLbl>
              <c:idx val="2"/>
              <c:layout>
                <c:manualLayout>
                  <c:x val="-2.5230463897838475E-2"/>
                  <c:y val="-0.10059522395080278"/>
                </c:manualLayout>
              </c:layout>
              <c:tx>
                <c:rich>
                  <a:bodyPr/>
                  <a:lstStyle/>
                  <a:p>
                    <a:fld id="{50A0FD24-D194-1E4D-8DFD-FAFBE420CCF2}" type="VALUE">
                      <a:rPr lang="en-US"/>
                      <a:pPr/>
                      <a:t>[VALUE]</a:t>
                    </a:fld>
                    <a:r>
                      <a:rPr lang="en-US"/>
                      <a:t>M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A10-6742-992C-6562E9FA81E1}"/>
                </c:ext>
              </c:extLst>
            </c:dLbl>
            <c:dLbl>
              <c:idx val="3"/>
              <c:layout>
                <c:manualLayout>
                  <c:x val="1.8922847923378856E-2"/>
                  <c:y val="-8.8988082725710155E-2"/>
                </c:manualLayout>
              </c:layout>
              <c:tx>
                <c:rich>
                  <a:bodyPr/>
                  <a:lstStyle/>
                  <a:p>
                    <a:fld id="{402225CA-5295-1C47-AE7F-701504963081}" type="VALUE">
                      <a:rPr lang="en-US"/>
                      <a:pPr/>
                      <a:t>[VALUE]</a:t>
                    </a:fld>
                    <a:r>
                      <a:rPr lang="en-US" baseline="0"/>
                      <a:t>M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A10-6742-992C-6562E9FA81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REVENUE!$B$3:$B$6</c:f>
              <c:strCache>
                <c:ptCount val="4"/>
                <c:pt idx="0">
                  <c:v>UCAN</c:v>
                </c:pt>
                <c:pt idx="1">
                  <c:v>EUROPE</c:v>
                </c:pt>
                <c:pt idx="2">
                  <c:v>APAC</c:v>
                </c:pt>
                <c:pt idx="3">
                  <c:v>REST</c:v>
                </c:pt>
              </c:strCache>
            </c:strRef>
          </c:cat>
          <c:val>
            <c:numRef>
              <c:f>REVENUE!$K$3:$K$6</c:f>
              <c:numCache>
                <c:formatCode>General</c:formatCode>
                <c:ptCount val="4"/>
                <c:pt idx="0">
                  <c:v>816.7</c:v>
                </c:pt>
                <c:pt idx="1">
                  <c:v>264.60000000000002</c:v>
                </c:pt>
                <c:pt idx="2">
                  <c:v>152.9</c:v>
                </c:pt>
                <c:pt idx="3">
                  <c:v>125.5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0-6742-992C-6562E9FA8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73499817973118"/>
          <c:y val="0.36271554704974496"/>
          <c:w val="0.14634215389688984"/>
          <c:h val="0.26503155253587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Difference</a:t>
            </a:r>
            <a:r>
              <a:rPr lang="en-US" baseline="0"/>
              <a:t> in Booking/Revenue - </a:t>
            </a:r>
            <a:r>
              <a:rPr lang="en-US"/>
              <a:t>UCAN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'BOOKINGS TO REVENUE'!$B$10</c:f>
              <c:strCache>
                <c:ptCount val="1"/>
                <c:pt idx="0">
                  <c:v>UCAN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3508539114124996"/>
                  <c:y val="0.388464634006125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'BOOKINGS TO REVENUE'!$C$9:$K$9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'BOOKINGS TO REVENUE'!$C$10:$K$10</c:f>
              <c:numCache>
                <c:formatCode>General</c:formatCode>
                <c:ptCount val="9"/>
                <c:pt idx="0">
                  <c:v>-0.12747336377473364</c:v>
                </c:pt>
                <c:pt idx="1">
                  <c:v>-0.3403875223306308</c:v>
                </c:pt>
                <c:pt idx="2">
                  <c:v>-7.3973100690658017E-2</c:v>
                </c:pt>
                <c:pt idx="3">
                  <c:v>-3.6929884275017096E-2</c:v>
                </c:pt>
                <c:pt idx="4">
                  <c:v>-0.16809360730593603</c:v>
                </c:pt>
                <c:pt idx="5">
                  <c:v>-0.27712661018916102</c:v>
                </c:pt>
                <c:pt idx="6">
                  <c:v>-0.10022240756185714</c:v>
                </c:pt>
                <c:pt idx="7">
                  <c:v>-0.20171673819742483</c:v>
                </c:pt>
                <c:pt idx="8">
                  <c:v>-0.22063173966981584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3-5D41-A426-E50CBE90F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691024"/>
        <c:axId val="258692752"/>
      </c:barChart>
      <c:catAx>
        <c:axId val="2586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92752"/>
        <c:crosses val="autoZero"/>
        <c:auto val="1"/>
        <c:lblAlgn val="ctr"/>
        <c:lblOffset val="100"/>
        <c:noMultiLvlLbl val="0"/>
      </c:catAx>
      <c:valAx>
        <c:axId val="2586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Difference</a:t>
            </a:r>
            <a:r>
              <a:rPr lang="en-US" baseline="0"/>
              <a:t> in Booking/Revenue - Europe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'BOOKINGS TO REVENUE'!$B$11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3933365718073198"/>
                  <c:y val="0.201087526029421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'BOOKINGS TO REVENUE'!$C$9:$K$9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'BOOKINGS TO REVENUE'!$C$11:$K$11</c:f>
              <c:numCache>
                <c:formatCode>General</c:formatCode>
                <c:ptCount val="9"/>
                <c:pt idx="0">
                  <c:v>-0.18939393939393939</c:v>
                </c:pt>
                <c:pt idx="1">
                  <c:v>-0.3385518590998044</c:v>
                </c:pt>
                <c:pt idx="2">
                  <c:v>-0.19513543394140415</c:v>
                </c:pt>
                <c:pt idx="3">
                  <c:v>-0.11099020674646357</c:v>
                </c:pt>
                <c:pt idx="4">
                  <c:v>-0.21917170777105627</c:v>
                </c:pt>
                <c:pt idx="5">
                  <c:v>-0.27564356435643561</c:v>
                </c:pt>
                <c:pt idx="6">
                  <c:v>-0.16802750322303392</c:v>
                </c:pt>
                <c:pt idx="7">
                  <c:v>-0.30279291553133525</c:v>
                </c:pt>
                <c:pt idx="8">
                  <c:v>-0.35210577864838383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00-3C46-8741-80DBE02A5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691024"/>
        <c:axId val="258692752"/>
      </c:barChart>
      <c:catAx>
        <c:axId val="2586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92752"/>
        <c:crosses val="autoZero"/>
        <c:auto val="1"/>
        <c:lblAlgn val="ctr"/>
        <c:lblOffset val="100"/>
        <c:noMultiLvlLbl val="0"/>
      </c:catAx>
      <c:valAx>
        <c:axId val="2586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Difference</a:t>
            </a:r>
            <a:r>
              <a:rPr lang="en-US" baseline="0"/>
              <a:t> in Booking/Revenue - </a:t>
            </a:r>
            <a:r>
              <a:rPr lang="en-US"/>
              <a:t>APAC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'BOOKINGS TO REVENUE'!$B$12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409522707902765"/>
                  <c:y val="0.1006410061144051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-0.024x - 0.1079</a:t>
                    </a:r>
                    <a:br>
                      <a:rPr lang="en-US" baseline="0"/>
                    </a:br>
                    <a:r>
                      <a:rPr lang="en-US" baseline="0">
                        <a:solidFill>
                          <a:srgbClr val="FF0000"/>
                        </a:solidFill>
                      </a:rPr>
                      <a:t>R² = 0.4354</a:t>
                    </a:r>
                    <a:endParaRPr lang="en-US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'BOOKINGS TO REVENUE'!$C$9:$K$9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'BOOKINGS TO REVENUE'!$C$12:$K$12</c:f>
              <c:numCache>
                <c:formatCode>General</c:formatCode>
                <c:ptCount val="9"/>
                <c:pt idx="0">
                  <c:v>-0.13380281690140852</c:v>
                </c:pt>
                <c:pt idx="1">
                  <c:v>-0.272140221402214</c:v>
                </c:pt>
                <c:pt idx="2">
                  <c:v>-0.19981238273921198</c:v>
                </c:pt>
                <c:pt idx="3">
                  <c:v>-5.7482656095143816E-2</c:v>
                </c:pt>
                <c:pt idx="4">
                  <c:v>-0.17743324720068901</c:v>
                </c:pt>
                <c:pt idx="5">
                  <c:v>-0.26443335709194588</c:v>
                </c:pt>
                <c:pt idx="6">
                  <c:v>-0.22804532577903677</c:v>
                </c:pt>
                <c:pt idx="7">
                  <c:v>-0.34447592067988669</c:v>
                </c:pt>
                <c:pt idx="8">
                  <c:v>-0.37361736993035638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2-F04A-80EE-A0662C40D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691024"/>
        <c:axId val="258692752"/>
      </c:barChart>
      <c:catAx>
        <c:axId val="2586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92752"/>
        <c:crosses val="autoZero"/>
        <c:auto val="1"/>
        <c:lblAlgn val="ctr"/>
        <c:lblOffset val="100"/>
        <c:noMultiLvlLbl val="0"/>
      </c:catAx>
      <c:valAx>
        <c:axId val="2586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Difference</a:t>
            </a:r>
            <a:r>
              <a:rPr lang="en-US" baseline="0"/>
              <a:t> in Booking/Revenue - Rest of the World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'BOOKINGS TO REVENUE'!$B$13</c:f>
              <c:strCache>
                <c:ptCount val="1"/>
                <c:pt idx="0">
                  <c:v>REST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396688258443024"/>
                  <c:y val="0.246708512444131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'BOOKINGS TO REVENUE'!$C$9:$K$9</c:f>
              <c:strCache>
                <c:ptCount val="9"/>
                <c:pt idx="0">
                  <c:v>2023 Q3</c:v>
                </c:pt>
                <c:pt idx="1">
                  <c:v>2023 Q4</c:v>
                </c:pt>
                <c:pt idx="2">
                  <c:v>2024 Q1</c:v>
                </c:pt>
                <c:pt idx="3">
                  <c:v>2024 Q2</c:v>
                </c:pt>
                <c:pt idx="4">
                  <c:v>2024 Q3</c:v>
                </c:pt>
                <c:pt idx="5">
                  <c:v>2024 Q4</c:v>
                </c:pt>
                <c:pt idx="6">
                  <c:v>2025 Q1</c:v>
                </c:pt>
                <c:pt idx="7">
                  <c:v>2025 Q2</c:v>
                </c:pt>
                <c:pt idx="8">
                  <c:v>2025 Q3</c:v>
                </c:pt>
              </c:strCache>
            </c:strRef>
          </c:cat>
          <c:val>
            <c:numRef>
              <c:f>'BOOKINGS TO REVENUE'!$C$13:$K$13</c:f>
              <c:numCache>
                <c:formatCode>General</c:formatCode>
                <c:ptCount val="9"/>
                <c:pt idx="0">
                  <c:v>-0.25320056899004262</c:v>
                </c:pt>
                <c:pt idx="1">
                  <c:v>-0.35225955967555039</c:v>
                </c:pt>
                <c:pt idx="2">
                  <c:v>-0.29268292682926828</c:v>
                </c:pt>
                <c:pt idx="3">
                  <c:v>-0.16525934861278652</c:v>
                </c:pt>
                <c:pt idx="4">
                  <c:v>-0.24819027921406411</c:v>
                </c:pt>
                <c:pt idx="5">
                  <c:v>-0.26026119402985082</c:v>
                </c:pt>
                <c:pt idx="6">
                  <c:v>-0.2477954144620812</c:v>
                </c:pt>
                <c:pt idx="7">
                  <c:v>-0.29526029526029518</c:v>
                </c:pt>
                <c:pt idx="8">
                  <c:v>-0.43315266485998194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1-544C-B92A-0DC73F1B1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691024"/>
        <c:axId val="258692752"/>
      </c:barChart>
      <c:catAx>
        <c:axId val="2586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92752"/>
        <c:crosses val="autoZero"/>
        <c:auto val="1"/>
        <c:lblAlgn val="ctr"/>
        <c:lblOffset val="100"/>
        <c:noMultiLvlLbl val="0"/>
      </c:catAx>
      <c:valAx>
        <c:axId val="2586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377809</xdr:colOff>
      <xdr:row>9</xdr:row>
      <xdr:rowOff>162237</xdr:rowOff>
    </xdr:from>
    <xdr:to>
      <xdr:col>11</xdr:col>
      <xdr:colOff>477205</xdr:colOff>
      <xdr:row>28</xdr:row>
      <xdr:rowOff>98380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1B07F-E1C0-1BFD-9260-B77F16C15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715041</xdr:colOff>
      <xdr:row>10</xdr:row>
      <xdr:rowOff>0</xdr:rowOff>
    </xdr:from>
    <xdr:to>
      <xdr:col>21</xdr:col>
      <xdr:colOff>808721</xdr:colOff>
      <xdr:row>28</xdr:row>
      <xdr:rowOff>141847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B9178C-DC55-9343-AB40-83E410A69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342034</xdr:colOff>
      <xdr:row>29</xdr:row>
      <xdr:rowOff>77631</xdr:rowOff>
    </xdr:from>
    <xdr:to>
      <xdr:col>11</xdr:col>
      <xdr:colOff>441430</xdr:colOff>
      <xdr:row>48</xdr:row>
      <xdr:rowOff>16278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B6A011-139B-764D-BB78-9E454EFAF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440413</xdr:colOff>
      <xdr:row>30</xdr:row>
      <xdr:rowOff>107324</xdr:rowOff>
    </xdr:from>
    <xdr:to>
      <xdr:col>22</xdr:col>
      <xdr:colOff>539811</xdr:colOff>
      <xdr:row>49</xdr:row>
      <xdr:rowOff>43467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176F64-9189-6142-A063-5630C9016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535353</xdr:colOff>
      <xdr:row>9</xdr:row>
      <xdr:rowOff>78153</xdr:rowOff>
    </xdr:from>
    <xdr:to>
      <xdr:col>15</xdr:col>
      <xdr:colOff>410308</xdr:colOff>
      <xdr:row>25</xdr:row>
      <xdr:rowOff>78154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92A0D-B3C9-154A-5AFA-EA673E848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692164</xdr:colOff>
      <xdr:row>17</xdr:row>
      <xdr:rowOff>60818</xdr:rowOff>
    </xdr:from>
    <xdr:to>
      <xdr:col>6</xdr:col>
      <xdr:colOff>739116</xdr:colOff>
      <xdr:row>29</xdr:row>
      <xdr:rowOff>122659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A6AE53-78A8-B3E5-E80B-3EFA11B2F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42812</xdr:colOff>
      <xdr:row>17</xdr:row>
      <xdr:rowOff>93987</xdr:rowOff>
    </xdr:from>
    <xdr:to>
      <xdr:col>12</xdr:col>
      <xdr:colOff>86090</xdr:colOff>
      <xdr:row>29</xdr:row>
      <xdr:rowOff>155829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6AC50F-0AC2-DF46-A406-738136FF3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588770</xdr:colOff>
      <xdr:row>31</xdr:row>
      <xdr:rowOff>139708</xdr:rowOff>
    </xdr:from>
    <xdr:to>
      <xdr:col>6</xdr:col>
      <xdr:colOff>635722</xdr:colOff>
      <xdr:row>43</xdr:row>
      <xdr:rowOff>201549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2A3937-44D6-8942-9AA5-B48150A10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163649</xdr:colOff>
      <xdr:row>31</xdr:row>
      <xdr:rowOff>19387</xdr:rowOff>
    </xdr:from>
    <xdr:to>
      <xdr:col>16</xdr:col>
      <xdr:colOff>210602</xdr:colOff>
      <xdr:row>43</xdr:row>
      <xdr:rowOff>81228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5D95BD2-E16F-B245-8F4C-6BEAA1173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EC3B2-1895-C449-8EBA-07BF2B7B77C4}" name="RBLX_DAU" displayName="RBLX_DAU" ref="B2:K7" totalsRowShown="0">
  <autoFilter ref="B2:K7" xr:uid="{D71EC3B2-1895-C449-8EBA-07BF2B7B77C4}"/>
  <tableColumns count="10">
    <tableColumn id="1" xr3:uid="{4D6C5C51-F68C-7942-9160-DFF355E6EE2C}" name="REGION"/>
    <tableColumn id="2" xr3:uid="{402753F1-73D7-DE4A-B0D0-5FD465F8B6C6}" name="2023 Q3"/>
    <tableColumn id="3" xr3:uid="{C5C05A17-586C-1B4A-9803-6E73E0D351A3}" name="2023 Q4"/>
    <tableColumn id="4" xr3:uid="{4B13CF7F-84AF-8B44-A450-AEB2A17FED2F}" name="2024 Q1"/>
    <tableColumn id="5" xr3:uid="{D79845F7-9A3C-2C41-97DE-AF2D017EE84E}" name="2024 Q2"/>
    <tableColumn id="6" xr3:uid="{34759F60-2DFB-274D-A64B-670BBDAB3AB5}" name="2024 Q3"/>
    <tableColumn id="7" xr3:uid="{4C5425DB-09E5-314F-919C-0F8546982B59}" name="2024 Q4"/>
    <tableColumn id="8" xr3:uid="{65360133-29AA-284A-BD94-0DB40571138B}" name="2025 Q1"/>
    <tableColumn id="9" xr3:uid="{93004802-41C4-8946-99C1-775D9F29A847}" name="2025 Q2"/>
    <tableColumn id="10" xr3:uid="{7F01F8CF-6C1C-EE48-B382-71D05AC01917}" name="2025 Q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05A8F-04E7-F847-89FF-9C20EC560E77}" name="RBLX_ABPDAU" displayName="RBLX_ABPDAU" ref="B2:K7" totalsRowShown="0">
  <autoFilter ref="B2:K7" xr:uid="{40D05A8F-04E7-F847-89FF-9C20EC560E77}"/>
  <tableColumns count="10">
    <tableColumn id="1" xr3:uid="{13FEA9E5-94EF-614F-885E-80557DB4C9C2}" name="REGION"/>
    <tableColumn id="2" xr3:uid="{CE7E3E95-7F6A-2843-AF4D-A630B6AEB60A}" name="2023 Q3"/>
    <tableColumn id="3" xr3:uid="{96190EDC-BB48-CF44-9216-D5E74077B3FE}" name="2023 Q4"/>
    <tableColumn id="4" xr3:uid="{09B35203-B3C6-9244-AB90-3C357DE5271E}" name="2024 Q1"/>
    <tableColumn id="5" xr3:uid="{99802BEC-20F9-CE4A-9445-8FE78D1714ED}" name="2024 Q2"/>
    <tableColumn id="6" xr3:uid="{18DA1F29-588F-624A-A88D-5BDCB13CA64C}" name="2024 Q3"/>
    <tableColumn id="7" xr3:uid="{CD2BCBDF-6569-274C-8DA6-9CBE497B0EB7}" name="2024 Q4"/>
    <tableColumn id="8" xr3:uid="{28BFCD20-E0C0-B54A-8DAF-CEA2E91566E0}" name="2025 Q1"/>
    <tableColumn id="9" xr3:uid="{5FFCB5B3-F7CE-3E40-96BB-987BC179F4F6}" name="2025 Q2"/>
    <tableColumn id="10" xr3:uid="{FA8FC3A7-5196-8F4F-93B3-9F8BE7C05C73}" name="2025 Q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35241B-CBD7-404B-A398-FD0DC901A4F0}" name="RBLX_BOOKINGS" displayName="RBLX_BOOKINGS" ref="B2:K7" totalsRowShown="0">
  <autoFilter ref="B2:K7" xr:uid="{9535241B-CBD7-404B-A398-FD0DC901A4F0}"/>
  <tableColumns count="10">
    <tableColumn id="1" xr3:uid="{EF0679BB-38B5-154F-887F-13BED5361970}" name="REGION"/>
    <tableColumn id="2" xr3:uid="{3FB2F145-E334-AB49-8CF4-9B1B2AB36403}" name="2023 Q3"/>
    <tableColumn id="3" xr3:uid="{C1E241B8-4E66-D647-B30B-70051C27C600}" name="2023 Q4"/>
    <tableColumn id="4" xr3:uid="{30425BF9-8DE5-D74C-A1F7-A71C30551B53}" name="2024 Q1"/>
    <tableColumn id="5" xr3:uid="{540669F3-4097-9145-8523-66E9688F4A93}" name="2024 Q2"/>
    <tableColumn id="6" xr3:uid="{0D8EE8A2-65CE-7B47-B1CC-072405269868}" name="2024 Q3"/>
    <tableColumn id="7" xr3:uid="{931FDE15-D8FA-BF45-9F74-881176CA3FE0}" name="2024 Q4"/>
    <tableColumn id="8" xr3:uid="{80DA3C93-5E17-D34B-96F4-F0B5236A7038}" name="2025 Q1"/>
    <tableColumn id="9" xr3:uid="{CEF94EB5-EF93-534D-8333-3AB8E981683F}" name="2025 Q2"/>
    <tableColumn id="10" xr3:uid="{4498DDCA-90BE-654C-8E9B-78A44735675A}" name="2025 Q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2EA9FE-723C-104F-8929-40324C872A38}" name="RBLX_REVENUE" displayName="RBLX_REVENUE" ref="B2:K7" totalsRowShown="0">
  <autoFilter ref="B2:K7" xr:uid="{162EA9FE-723C-104F-8929-40324C872A38}"/>
  <tableColumns count="10">
    <tableColumn id="1" xr3:uid="{6CDF82A3-4479-544B-9FCE-C813A8B3F8BB}" name="REGION"/>
    <tableColumn id="2" xr3:uid="{52D664F6-A829-E64B-ADB3-E42BA36255CB}" name="2023 Q3"/>
    <tableColumn id="3" xr3:uid="{90166847-A8BD-B84B-B11F-1D49498D6E6F}" name="2023 Q4"/>
    <tableColumn id="4" xr3:uid="{3FEE1DBD-D7FE-CC40-956A-FE61943A5E0A}" name="2024 Q1"/>
    <tableColumn id="5" xr3:uid="{19BC9874-C978-8A4E-BD0B-E7929842C761}" name="2024 Q2"/>
    <tableColumn id="6" xr3:uid="{A9F00065-02FE-5B4D-A7DB-60C0B932B060}" name="2024 Q3"/>
    <tableColumn id="7" xr3:uid="{3190AC6F-BC48-3842-8C17-F116F0429131}" name="2024 Q4"/>
    <tableColumn id="8" xr3:uid="{98402135-21C8-9D49-BE63-7D2B9E79A0EE}" name="2025 Q1"/>
    <tableColumn id="9" xr3:uid="{DC10191D-7610-5C41-9673-E0EEEAF23255}" name="2025 Q2"/>
    <tableColumn id="10" xr3:uid="{3384CBB0-F40E-FD43-A865-88F6EE7EE04D}" name="2025 Q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A8A02F-43CD-A146-98B7-EFFD81862CCF}" name="RBLX_BOOKINGS_TO_REVENUE" displayName="RBLX_BOOKINGS_TO_REVENUE" ref="B2:K6" totalsRowShown="0">
  <autoFilter ref="B2:K6" xr:uid="{B9A8A02F-43CD-A146-98B7-EFFD81862CCF}"/>
  <tableColumns count="10">
    <tableColumn id="1" xr3:uid="{B789F597-6877-A04C-9436-E518E15DC4E7}" name="REGION"/>
    <tableColumn id="2" xr3:uid="{113D28E9-7172-BB48-964B-B2E3CD97CDE7}" name="2023 Q3" dataDxfId="13">
      <calculatedColumnFormula>RBLX_REVENUE[[#This Row],[2023 Q3]]-RBLX_BOOKINGS[[#This Row],[2023 Q3]]</calculatedColumnFormula>
    </tableColumn>
    <tableColumn id="3" xr3:uid="{95161B79-A95D-E746-9F11-749FC2F874AB}" name="2023 Q4">
      <calculatedColumnFormula>RBLX_REVENUE[[#This Row],[2023 Q4]]-RBLX_BOOKINGS[[#This Row],[2023 Q4]]</calculatedColumnFormula>
    </tableColumn>
    <tableColumn id="4" xr3:uid="{4A7AD053-305E-E542-A34D-D066EB6BEDCB}" name="2024 Q1">
      <calculatedColumnFormula>RBLX_REVENUE[[#This Row],[2024 Q1]]-RBLX_BOOKINGS[[#This Row],[2024 Q1]]</calculatedColumnFormula>
    </tableColumn>
    <tableColumn id="5" xr3:uid="{CDA77D65-9967-2F46-8690-235D9C8A60B9}" name="2024 Q2">
      <calculatedColumnFormula>RBLX_REVENUE[[#This Row],[2024 Q2]]-RBLX_BOOKINGS[[#This Row],[2024 Q2]]</calculatedColumnFormula>
    </tableColumn>
    <tableColumn id="6" xr3:uid="{5576F533-783B-B543-9816-05F286A05376}" name="2024 Q3">
      <calculatedColumnFormula>RBLX_REVENUE[[#This Row],[2024 Q3]]-RBLX_BOOKINGS[[#This Row],[2024 Q3]]</calculatedColumnFormula>
    </tableColumn>
    <tableColumn id="7" xr3:uid="{387346D3-339E-0F45-9764-AB228496D225}" name="2024 Q4">
      <calculatedColumnFormula>RBLX_REVENUE[[#This Row],[2024 Q4]]-RBLX_BOOKINGS[[#This Row],[2024 Q4]]</calculatedColumnFormula>
    </tableColumn>
    <tableColumn id="8" xr3:uid="{D6A57DF5-EC9B-3B4B-99FB-61351CE380D6}" name="2025 Q1">
      <calculatedColumnFormula>RBLX_REVENUE[[#This Row],[2025 Q1]]-RBLX_BOOKINGS[[#This Row],[2025 Q1]]</calculatedColumnFormula>
    </tableColumn>
    <tableColumn id="9" xr3:uid="{749C6540-1600-404E-A555-4518E880CD3A}" name="2025 Q2">
      <calculatedColumnFormula>RBLX_REVENUE[[#This Row],[2025 Q2]]-RBLX_BOOKINGS[[#This Row],[2025 Q2]]</calculatedColumnFormula>
    </tableColumn>
    <tableColumn id="10" xr3:uid="{3A68F93C-6485-9249-96B8-52C962265F11}" name="2025 Q3">
      <calculatedColumnFormula>RBLX_REVENUE[[#This Row],[2025 Q3]]-RBLX_BOOKINGS[[#This Row],[2025 Q3]]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CA30B0-1C03-E14D-9136-905283E1C827}" name="RBLX_Percent_Difference_Bookings_Revenue" displayName="RBLX_Percent_Difference_Bookings_Revenue" ref="B9:K13" totalsRowShown="0" headerRowDxfId="0" dataDxfId="1" tableBorderDxfId="12">
  <autoFilter ref="B9:K13" xr:uid="{07CA30B0-1C03-E14D-9136-905283E1C827}"/>
  <tableColumns count="10">
    <tableColumn id="1" xr3:uid="{7BF6487C-168D-1441-B7EA-25C16AD32EE0}" name="REGION" dataDxfId="11"/>
    <tableColumn id="2" xr3:uid="{900BA925-36CC-394C-B8A0-1A7CA9524174}" name="2023 Q3" dataDxfId="10">
      <calculatedColumnFormula>C3/BOOKINGS!C3</calculatedColumnFormula>
    </tableColumn>
    <tableColumn id="3" xr3:uid="{D3EEDF46-1C25-2E4C-89B8-23C12CE41C33}" name="2023 Q4" dataDxfId="9">
      <calculatedColumnFormula>D3/BOOKINGS!D3</calculatedColumnFormula>
    </tableColumn>
    <tableColumn id="4" xr3:uid="{E2B3C0F5-2AEF-4C4B-8950-D83EE359CD0B}" name="2024 Q1" dataDxfId="8">
      <calculatedColumnFormula>E3/BOOKINGS!E3</calculatedColumnFormula>
    </tableColumn>
    <tableColumn id="5" xr3:uid="{E1C3E5BB-3CF8-3B46-87A4-315E7114F71A}" name="2024 Q2" dataDxfId="7">
      <calculatedColumnFormula>F3/BOOKINGS!F3</calculatedColumnFormula>
    </tableColumn>
    <tableColumn id="6" xr3:uid="{C150596C-8AD3-6243-9B7E-9BA45916E3F5}" name="2024 Q3" dataDxfId="6">
      <calculatedColumnFormula>G3/BOOKINGS!G3</calculatedColumnFormula>
    </tableColumn>
    <tableColumn id="7" xr3:uid="{3153E010-23EB-C148-B23D-BFFD9C3F1729}" name="2024 Q4" dataDxfId="5">
      <calculatedColumnFormula>H3/BOOKINGS!H3</calculatedColumnFormula>
    </tableColumn>
    <tableColumn id="8" xr3:uid="{5F5A058B-09FF-DC4B-91CC-82F652A77FC3}" name="2025 Q1" dataDxfId="4">
      <calculatedColumnFormula>I3/BOOKINGS!I3</calculatedColumnFormula>
    </tableColumn>
    <tableColumn id="9" xr3:uid="{AFB531A4-649F-9A40-BD9F-FC2AC8257FB9}" name="2025 Q2" dataDxfId="3">
      <calculatedColumnFormula>J3/BOOKINGS!J3</calculatedColumnFormula>
    </tableColumn>
    <tableColumn id="10" xr3:uid="{4D11DCDB-47A1-1147-8280-4AF886A1E345}" name="2025 Q3" dataDxfId="2">
      <calculatedColumnFormula>K3/BOOKINGS!K3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68C7-D5FC-264D-B9B2-3AF1AFDC74E5}">
  <dimension ref="B2:K7"/>
  <sheetViews>
    <sheetView zoomScale="150" workbookViewId="0">
      <selection activeCell="C3" sqref="C3"/>
    </sheetView>
  </sheetViews>
  <sheetFormatPr baseColWidth="10" defaultRowHeight="16" x14ac:dyDescent="0.2"/>
  <sheetData>
    <row r="2" spans="2:11" x14ac:dyDescent="0.2">
      <c r="B2" t="s">
        <v>14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2:11" x14ac:dyDescent="0.2">
      <c r="B3" t="s">
        <v>0</v>
      </c>
      <c r="C3">
        <v>15.7</v>
      </c>
      <c r="D3">
        <v>15.6</v>
      </c>
      <c r="E3">
        <v>16.2</v>
      </c>
      <c r="F3">
        <v>17.100000000000001</v>
      </c>
      <c r="G3">
        <v>19.7</v>
      </c>
      <c r="H3">
        <v>18</v>
      </c>
      <c r="I3">
        <v>19.7</v>
      </c>
      <c r="J3">
        <v>20.6</v>
      </c>
      <c r="K3">
        <v>26.1</v>
      </c>
    </row>
    <row r="4" spans="2:11" x14ac:dyDescent="0.2">
      <c r="B4" t="s">
        <v>1</v>
      </c>
      <c r="C4">
        <v>18.899999999999999</v>
      </c>
      <c r="D4">
        <v>20</v>
      </c>
      <c r="E4">
        <v>21.4</v>
      </c>
      <c r="F4">
        <v>20.6</v>
      </c>
      <c r="G4">
        <v>21.7</v>
      </c>
      <c r="H4">
        <v>21.1</v>
      </c>
      <c r="I4">
        <v>23.6</v>
      </c>
      <c r="J4">
        <v>25.5</v>
      </c>
      <c r="K4">
        <v>33.9</v>
      </c>
    </row>
    <row r="5" spans="2:11" x14ac:dyDescent="0.2">
      <c r="B5" t="s">
        <v>2</v>
      </c>
      <c r="C5">
        <v>16.2</v>
      </c>
      <c r="D5">
        <v>17.2</v>
      </c>
      <c r="E5">
        <v>18.8</v>
      </c>
      <c r="F5">
        <v>20.2</v>
      </c>
      <c r="G5">
        <v>22.3</v>
      </c>
      <c r="H5">
        <v>22.3</v>
      </c>
      <c r="I5">
        <v>26.3</v>
      </c>
      <c r="J5">
        <v>35.6</v>
      </c>
      <c r="K5">
        <v>46.3</v>
      </c>
    </row>
    <row r="6" spans="2:11" x14ac:dyDescent="0.2">
      <c r="B6" t="s">
        <v>3</v>
      </c>
      <c r="C6">
        <v>19.399999999999999</v>
      </c>
      <c r="D6">
        <v>18.7</v>
      </c>
      <c r="E6">
        <v>21.3</v>
      </c>
      <c r="F6">
        <v>21.6</v>
      </c>
      <c r="G6">
        <v>25.2</v>
      </c>
      <c r="H6">
        <v>23.8</v>
      </c>
      <c r="I6">
        <v>28.2</v>
      </c>
      <c r="J6">
        <v>30</v>
      </c>
      <c r="K6">
        <v>45.2</v>
      </c>
    </row>
    <row r="7" spans="2:11" x14ac:dyDescent="0.2">
      <c r="B7" s="1" t="s">
        <v>13</v>
      </c>
      <c r="C7" s="1">
        <f>SUM(C3:C6)</f>
        <v>70.199999999999989</v>
      </c>
      <c r="D7" s="1">
        <f t="shared" ref="D7:K7" si="0">SUM(D3:D6)</f>
        <v>71.5</v>
      </c>
      <c r="E7" s="1">
        <f t="shared" si="0"/>
        <v>77.699999999999989</v>
      </c>
      <c r="F7" s="1">
        <f t="shared" si="0"/>
        <v>79.5</v>
      </c>
      <c r="G7" s="1">
        <f t="shared" si="0"/>
        <v>88.9</v>
      </c>
      <c r="H7" s="1">
        <f t="shared" si="0"/>
        <v>85.2</v>
      </c>
      <c r="I7" s="1">
        <f t="shared" si="0"/>
        <v>97.8</v>
      </c>
      <c r="J7" s="1">
        <f t="shared" si="0"/>
        <v>111.7</v>
      </c>
      <c r="K7" s="1">
        <f t="shared" si="0"/>
        <v>151.5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7D9D-D856-2D4F-9DE1-CD93FBDBE7E2}">
  <dimension ref="B2:K7"/>
  <sheetViews>
    <sheetView tabSelected="1" workbookViewId="0">
      <selection activeCell="N23" sqref="N23"/>
    </sheetView>
  </sheetViews>
  <sheetFormatPr baseColWidth="10" defaultRowHeight="16" x14ac:dyDescent="0.2"/>
  <sheetData>
    <row r="2" spans="2:11" x14ac:dyDescent="0.2">
      <c r="B2" t="s">
        <v>14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2:11" x14ac:dyDescent="0.2">
      <c r="B3" t="s">
        <v>0</v>
      </c>
      <c r="C3">
        <v>33.53</v>
      </c>
      <c r="D3">
        <v>46.56</v>
      </c>
      <c r="E3">
        <v>33.950000000000003</v>
      </c>
      <c r="F3">
        <v>34.36</v>
      </c>
      <c r="G3">
        <v>35.51</v>
      </c>
      <c r="H3">
        <v>47.79</v>
      </c>
      <c r="I3">
        <v>36.46</v>
      </c>
      <c r="J3">
        <v>40.69</v>
      </c>
      <c r="K3">
        <v>40.18</v>
      </c>
    </row>
    <row r="4" spans="2:11" x14ac:dyDescent="0.2">
      <c r="B4" t="s">
        <v>1</v>
      </c>
      <c r="C4">
        <v>8.3800000000000008</v>
      </c>
      <c r="D4">
        <v>10.23</v>
      </c>
      <c r="E4">
        <v>8.44</v>
      </c>
      <c r="F4">
        <v>8.91</v>
      </c>
      <c r="G4">
        <v>9.9</v>
      </c>
      <c r="H4">
        <v>11.95</v>
      </c>
      <c r="I4">
        <v>9.8800000000000008</v>
      </c>
      <c r="J4">
        <v>11.49</v>
      </c>
      <c r="K4">
        <v>12.04</v>
      </c>
    </row>
    <row r="5" spans="2:11" x14ac:dyDescent="0.2">
      <c r="B5" t="s">
        <v>2</v>
      </c>
      <c r="C5">
        <v>5.24</v>
      </c>
      <c r="D5">
        <v>6.3</v>
      </c>
      <c r="E5">
        <v>5.67</v>
      </c>
      <c r="F5">
        <v>5</v>
      </c>
      <c r="G5">
        <v>5.21</v>
      </c>
      <c r="H5">
        <v>6.29</v>
      </c>
      <c r="I5">
        <v>5.37</v>
      </c>
      <c r="J5">
        <v>4.95</v>
      </c>
      <c r="K5">
        <v>5.27</v>
      </c>
    </row>
    <row r="6" spans="2:11" x14ac:dyDescent="0.2">
      <c r="B6" t="s">
        <v>3</v>
      </c>
      <c r="C6">
        <v>3.63</v>
      </c>
      <c r="D6">
        <v>4.6100000000000003</v>
      </c>
      <c r="E6">
        <v>4.05</v>
      </c>
      <c r="F6">
        <v>3.84</v>
      </c>
      <c r="G6">
        <v>3.84</v>
      </c>
      <c r="H6">
        <v>4.51</v>
      </c>
      <c r="I6">
        <v>4.0199999999999996</v>
      </c>
      <c r="J6">
        <v>4.29</v>
      </c>
      <c r="K6">
        <v>4.9000000000000004</v>
      </c>
    </row>
    <row r="7" spans="2:11" x14ac:dyDescent="0.2">
      <c r="B7" s="1" t="s">
        <v>13</v>
      </c>
      <c r="C7" s="1">
        <f>SUM(C3:C6)</f>
        <v>50.780000000000008</v>
      </c>
      <c r="D7" s="1">
        <f t="shared" ref="D7:K7" si="0">SUM(D3:D6)</f>
        <v>67.7</v>
      </c>
      <c r="E7" s="1">
        <f t="shared" si="0"/>
        <v>52.11</v>
      </c>
      <c r="F7" s="1">
        <f t="shared" si="0"/>
        <v>52.11</v>
      </c>
      <c r="G7" s="1">
        <f t="shared" si="0"/>
        <v>54.459999999999994</v>
      </c>
      <c r="H7" s="1">
        <f t="shared" si="0"/>
        <v>70.540000000000006</v>
      </c>
      <c r="I7" s="1">
        <f t="shared" si="0"/>
        <v>55.730000000000004</v>
      </c>
      <c r="J7" s="1">
        <f t="shared" si="0"/>
        <v>61.42</v>
      </c>
      <c r="K7" s="1">
        <f t="shared" si="0"/>
        <v>62.389999999999993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FA06-51BC-B44E-B81C-CA8750EA9839}">
  <dimension ref="B2:K7"/>
  <sheetViews>
    <sheetView zoomScale="125" workbookViewId="0">
      <selection activeCell="D6" sqref="D6"/>
    </sheetView>
  </sheetViews>
  <sheetFormatPr baseColWidth="10" defaultRowHeight="16" x14ac:dyDescent="0.2"/>
  <sheetData>
    <row r="2" spans="2:11" x14ac:dyDescent="0.2">
      <c r="B2" t="s">
        <v>14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2:11" x14ac:dyDescent="0.2">
      <c r="B3" t="s">
        <v>0</v>
      </c>
      <c r="C3">
        <v>525.6</v>
      </c>
      <c r="D3">
        <v>727.7</v>
      </c>
      <c r="E3">
        <v>550.20000000000005</v>
      </c>
      <c r="F3">
        <v>587.6</v>
      </c>
      <c r="G3">
        <v>700.8</v>
      </c>
      <c r="H3">
        <v>861.7</v>
      </c>
      <c r="I3">
        <v>719.4</v>
      </c>
      <c r="J3">
        <v>838.8</v>
      </c>
      <c r="K3">
        <v>1047.9000000000001</v>
      </c>
    </row>
    <row r="4" spans="2:11" x14ac:dyDescent="0.2">
      <c r="B4" t="s">
        <v>1</v>
      </c>
      <c r="C4">
        <v>158.4</v>
      </c>
      <c r="D4">
        <v>204.4</v>
      </c>
      <c r="E4">
        <v>180.9</v>
      </c>
      <c r="F4">
        <v>183.8</v>
      </c>
      <c r="G4">
        <v>214.9</v>
      </c>
      <c r="H4">
        <v>252.5</v>
      </c>
      <c r="I4">
        <v>232.7</v>
      </c>
      <c r="J4">
        <v>293.60000000000002</v>
      </c>
      <c r="K4">
        <v>408.4</v>
      </c>
    </row>
    <row r="5" spans="2:11" x14ac:dyDescent="0.2">
      <c r="B5" t="s">
        <v>2</v>
      </c>
      <c r="C5">
        <v>85.2</v>
      </c>
      <c r="D5">
        <v>108.4</v>
      </c>
      <c r="E5">
        <v>106.6</v>
      </c>
      <c r="F5">
        <v>100.9</v>
      </c>
      <c r="G5">
        <v>116.1</v>
      </c>
      <c r="H5">
        <v>140.30000000000001</v>
      </c>
      <c r="I5">
        <v>141.19999999999999</v>
      </c>
      <c r="J5">
        <v>176.5</v>
      </c>
      <c r="K5">
        <v>244.1</v>
      </c>
    </row>
    <row r="6" spans="2:11" x14ac:dyDescent="0.2">
      <c r="B6" t="s">
        <v>3</v>
      </c>
      <c r="C6">
        <v>70.3</v>
      </c>
      <c r="D6">
        <v>86.3</v>
      </c>
      <c r="E6">
        <v>86.1</v>
      </c>
      <c r="F6">
        <v>82.9</v>
      </c>
      <c r="G6">
        <v>96.7</v>
      </c>
      <c r="H6">
        <v>107.2</v>
      </c>
      <c r="I6">
        <v>113.4</v>
      </c>
      <c r="J6">
        <v>128.69999999999999</v>
      </c>
      <c r="K6">
        <v>221.4</v>
      </c>
    </row>
    <row r="7" spans="2:11" x14ac:dyDescent="0.2">
      <c r="B7" s="1" t="s">
        <v>13</v>
      </c>
      <c r="C7" s="1">
        <f>SUM(C3:C6)</f>
        <v>839.5</v>
      </c>
      <c r="D7" s="1">
        <f t="shared" ref="D7:K7" si="0">SUM(D3:D6)</f>
        <v>1126.8</v>
      </c>
      <c r="E7" s="1">
        <f t="shared" si="0"/>
        <v>923.80000000000007</v>
      </c>
      <c r="F7" s="1">
        <f t="shared" si="0"/>
        <v>955.2</v>
      </c>
      <c r="G7" s="1">
        <f t="shared" si="0"/>
        <v>1128.5</v>
      </c>
      <c r="H7" s="1">
        <f t="shared" si="0"/>
        <v>1361.7</v>
      </c>
      <c r="I7" s="1">
        <f t="shared" si="0"/>
        <v>1206.7</v>
      </c>
      <c r="J7" s="1">
        <f t="shared" si="0"/>
        <v>1437.6000000000001</v>
      </c>
      <c r="K7" s="1">
        <f t="shared" si="0"/>
        <v>1921.8000000000002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28E1-F065-5F48-8B05-FEBD684264DE}">
  <dimension ref="B2:M7"/>
  <sheetViews>
    <sheetView zoomScale="130" workbookViewId="0">
      <selection activeCell="B3" sqref="B3"/>
    </sheetView>
  </sheetViews>
  <sheetFormatPr baseColWidth="10" defaultRowHeight="16" x14ac:dyDescent="0.2"/>
  <sheetData>
    <row r="2" spans="2:13" x14ac:dyDescent="0.2">
      <c r="B2" t="s">
        <v>14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2:13" x14ac:dyDescent="0.2">
      <c r="B3" t="s">
        <v>0</v>
      </c>
      <c r="C3">
        <v>458.6</v>
      </c>
      <c r="D3">
        <v>480</v>
      </c>
      <c r="E3">
        <v>509.5</v>
      </c>
      <c r="F3">
        <v>565.9</v>
      </c>
      <c r="G3">
        <v>583</v>
      </c>
      <c r="H3">
        <v>622.9</v>
      </c>
      <c r="I3">
        <v>647.29999999999995</v>
      </c>
      <c r="J3">
        <v>669.6</v>
      </c>
      <c r="K3">
        <v>816.7</v>
      </c>
      <c r="M3">
        <f>RBLX_REVENUE[[#This Row],[2025 Q3]]+K4</f>
        <v>1081.3000000000002</v>
      </c>
    </row>
    <row r="4" spans="2:13" x14ac:dyDescent="0.2">
      <c r="B4" t="s">
        <v>1</v>
      </c>
      <c r="C4">
        <v>128.4</v>
      </c>
      <c r="D4">
        <v>135.19999999999999</v>
      </c>
      <c r="E4">
        <v>145.6</v>
      </c>
      <c r="F4">
        <v>163.4</v>
      </c>
      <c r="G4">
        <v>167.8</v>
      </c>
      <c r="H4">
        <v>182.9</v>
      </c>
      <c r="I4">
        <v>193.6</v>
      </c>
      <c r="J4">
        <v>204.7</v>
      </c>
      <c r="K4">
        <v>264.60000000000002</v>
      </c>
      <c r="M4">
        <f>M3/K7*100</f>
        <v>79.52489519747003</v>
      </c>
    </row>
    <row r="5" spans="2:13" x14ac:dyDescent="0.2">
      <c r="B5" t="s">
        <v>2</v>
      </c>
      <c r="C5">
        <v>73.8</v>
      </c>
      <c r="D5">
        <v>78.900000000000006</v>
      </c>
      <c r="E5">
        <v>85.3</v>
      </c>
      <c r="F5">
        <v>95.1</v>
      </c>
      <c r="G5">
        <v>95.5</v>
      </c>
      <c r="H5">
        <v>103.2</v>
      </c>
      <c r="I5">
        <v>109</v>
      </c>
      <c r="J5">
        <v>115.7</v>
      </c>
      <c r="K5">
        <v>152.9</v>
      </c>
    </row>
    <row r="6" spans="2:13" x14ac:dyDescent="0.2">
      <c r="B6" t="s">
        <v>3</v>
      </c>
      <c r="C6">
        <v>52.5</v>
      </c>
      <c r="D6">
        <v>55.9</v>
      </c>
      <c r="E6">
        <v>60.9</v>
      </c>
      <c r="F6">
        <v>69.2</v>
      </c>
      <c r="G6">
        <v>72.7</v>
      </c>
      <c r="H6">
        <v>79.3</v>
      </c>
      <c r="I6">
        <v>85.3</v>
      </c>
      <c r="J6">
        <v>90.7</v>
      </c>
      <c r="K6">
        <v>125.5</v>
      </c>
    </row>
    <row r="7" spans="2:13" x14ac:dyDescent="0.2">
      <c r="B7" s="1" t="s">
        <v>13</v>
      </c>
      <c r="C7" s="1">
        <f>SUM(C3:C6)</f>
        <v>713.3</v>
      </c>
      <c r="D7" s="1">
        <f t="shared" ref="D7:K7" si="0">SUM(D3:D6)</f>
        <v>750</v>
      </c>
      <c r="E7" s="1">
        <f t="shared" si="0"/>
        <v>801.3</v>
      </c>
      <c r="F7" s="1">
        <f t="shared" si="0"/>
        <v>893.6</v>
      </c>
      <c r="G7" s="1">
        <f t="shared" si="0"/>
        <v>919</v>
      </c>
      <c r="H7" s="1">
        <f t="shared" si="0"/>
        <v>988.3</v>
      </c>
      <c r="I7" s="1">
        <f t="shared" si="0"/>
        <v>1035.2</v>
      </c>
      <c r="J7" s="1">
        <f t="shared" si="0"/>
        <v>1080.7</v>
      </c>
      <c r="K7" s="1">
        <f t="shared" si="0"/>
        <v>1359.7000000000003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4548-AC1C-7A4D-99F8-030DCB120806}">
  <dimension ref="B2:K13"/>
  <sheetViews>
    <sheetView topLeftCell="A9" zoomScale="125" workbookViewId="0">
      <selection activeCell="H17" sqref="H17"/>
    </sheetView>
  </sheetViews>
  <sheetFormatPr baseColWidth="10" defaultRowHeight="16" x14ac:dyDescent="0.2"/>
  <sheetData>
    <row r="2" spans="2:11" x14ac:dyDescent="0.2">
      <c r="B2" t="s">
        <v>14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2:11" x14ac:dyDescent="0.2">
      <c r="B3" t="s">
        <v>0</v>
      </c>
      <c r="C3">
        <f>RBLX_REVENUE[[#This Row],[2023 Q3]]-RBLX_BOOKINGS[[#This Row],[2023 Q3]]</f>
        <v>-67</v>
      </c>
      <c r="D3">
        <f>RBLX_REVENUE[[#This Row],[2023 Q4]]-RBLX_BOOKINGS[[#This Row],[2023 Q4]]</f>
        <v>-247.70000000000005</v>
      </c>
      <c r="E3">
        <f>RBLX_REVENUE[[#This Row],[2024 Q1]]-RBLX_BOOKINGS[[#This Row],[2024 Q1]]</f>
        <v>-40.700000000000045</v>
      </c>
      <c r="F3">
        <f>RBLX_REVENUE[[#This Row],[2024 Q2]]-RBLX_BOOKINGS[[#This Row],[2024 Q2]]</f>
        <v>-21.700000000000045</v>
      </c>
      <c r="G3">
        <f>RBLX_REVENUE[[#This Row],[2024 Q3]]-RBLX_BOOKINGS[[#This Row],[2024 Q3]]</f>
        <v>-117.79999999999995</v>
      </c>
      <c r="H3">
        <f>RBLX_REVENUE[[#This Row],[2024 Q4]]-RBLX_BOOKINGS[[#This Row],[2024 Q4]]</f>
        <v>-238.80000000000007</v>
      </c>
      <c r="I3">
        <f>RBLX_REVENUE[[#This Row],[2025 Q1]]-RBLX_BOOKINGS[[#This Row],[2025 Q1]]</f>
        <v>-72.100000000000023</v>
      </c>
      <c r="J3">
        <f>RBLX_REVENUE[[#This Row],[2025 Q2]]-RBLX_BOOKINGS[[#This Row],[2025 Q2]]</f>
        <v>-169.19999999999993</v>
      </c>
      <c r="K3">
        <f>RBLX_REVENUE[[#This Row],[2025 Q3]]-RBLX_BOOKINGS[[#This Row],[2025 Q3]]</f>
        <v>-231.20000000000005</v>
      </c>
    </row>
    <row r="4" spans="2:11" x14ac:dyDescent="0.2">
      <c r="B4" t="s">
        <v>1</v>
      </c>
      <c r="C4">
        <f>RBLX_REVENUE[[#This Row],[2023 Q3]]-RBLX_BOOKINGS[[#This Row],[2023 Q3]]</f>
        <v>-30</v>
      </c>
      <c r="D4">
        <f>RBLX_REVENUE[[#This Row],[2023 Q4]]-RBLX_BOOKINGS[[#This Row],[2023 Q4]]</f>
        <v>-69.200000000000017</v>
      </c>
      <c r="E4">
        <f>RBLX_REVENUE[[#This Row],[2024 Q1]]-RBLX_BOOKINGS[[#This Row],[2024 Q1]]</f>
        <v>-35.300000000000011</v>
      </c>
      <c r="F4">
        <f>RBLX_REVENUE[[#This Row],[2024 Q2]]-RBLX_BOOKINGS[[#This Row],[2024 Q2]]</f>
        <v>-20.400000000000006</v>
      </c>
      <c r="G4">
        <f>RBLX_REVENUE[[#This Row],[2024 Q3]]-RBLX_BOOKINGS[[#This Row],[2024 Q3]]</f>
        <v>-47.099999999999994</v>
      </c>
      <c r="H4">
        <f>RBLX_REVENUE[[#This Row],[2024 Q4]]-RBLX_BOOKINGS[[#This Row],[2024 Q4]]</f>
        <v>-69.599999999999994</v>
      </c>
      <c r="I4">
        <f>RBLX_REVENUE[[#This Row],[2025 Q1]]-RBLX_BOOKINGS[[#This Row],[2025 Q1]]</f>
        <v>-39.099999999999994</v>
      </c>
      <c r="J4">
        <f>RBLX_REVENUE[[#This Row],[2025 Q2]]-RBLX_BOOKINGS[[#This Row],[2025 Q2]]</f>
        <v>-88.900000000000034</v>
      </c>
      <c r="K4">
        <f>RBLX_REVENUE[[#This Row],[2025 Q3]]-RBLX_BOOKINGS[[#This Row],[2025 Q3]]</f>
        <v>-143.79999999999995</v>
      </c>
    </row>
    <row r="5" spans="2:11" x14ac:dyDescent="0.2">
      <c r="B5" t="s">
        <v>2</v>
      </c>
      <c r="C5">
        <f>RBLX_REVENUE[[#This Row],[2023 Q3]]-RBLX_BOOKINGS[[#This Row],[2023 Q3]]</f>
        <v>-11.400000000000006</v>
      </c>
      <c r="D5">
        <f>RBLX_REVENUE[[#This Row],[2023 Q4]]-RBLX_BOOKINGS[[#This Row],[2023 Q4]]</f>
        <v>-29.5</v>
      </c>
      <c r="E5">
        <f>RBLX_REVENUE[[#This Row],[2024 Q1]]-RBLX_BOOKINGS[[#This Row],[2024 Q1]]</f>
        <v>-21.299999999999997</v>
      </c>
      <c r="F5">
        <f>RBLX_REVENUE[[#This Row],[2024 Q2]]-RBLX_BOOKINGS[[#This Row],[2024 Q2]]</f>
        <v>-5.8000000000000114</v>
      </c>
      <c r="G5">
        <f>RBLX_REVENUE[[#This Row],[2024 Q3]]-RBLX_BOOKINGS[[#This Row],[2024 Q3]]</f>
        <v>-20.599999999999994</v>
      </c>
      <c r="H5">
        <f>RBLX_REVENUE[[#This Row],[2024 Q4]]-RBLX_BOOKINGS[[#This Row],[2024 Q4]]</f>
        <v>-37.100000000000009</v>
      </c>
      <c r="I5">
        <f>RBLX_REVENUE[[#This Row],[2025 Q1]]-RBLX_BOOKINGS[[#This Row],[2025 Q1]]</f>
        <v>-32.199999999999989</v>
      </c>
      <c r="J5">
        <f>RBLX_REVENUE[[#This Row],[2025 Q2]]-RBLX_BOOKINGS[[#This Row],[2025 Q2]]</f>
        <v>-60.8</v>
      </c>
      <c r="K5">
        <f>RBLX_REVENUE[[#This Row],[2025 Q3]]-RBLX_BOOKINGS[[#This Row],[2025 Q3]]</f>
        <v>-91.199999999999989</v>
      </c>
    </row>
    <row r="6" spans="2:11" x14ac:dyDescent="0.2">
      <c r="B6" t="s">
        <v>3</v>
      </c>
      <c r="C6">
        <f>RBLX_REVENUE[[#This Row],[2023 Q3]]-RBLX_BOOKINGS[[#This Row],[2023 Q3]]</f>
        <v>-17.799999999999997</v>
      </c>
      <c r="D6">
        <f>RBLX_REVENUE[[#This Row],[2023 Q4]]-RBLX_BOOKINGS[[#This Row],[2023 Q4]]</f>
        <v>-30.4</v>
      </c>
      <c r="E6">
        <f>RBLX_REVENUE[[#This Row],[2024 Q1]]-RBLX_BOOKINGS[[#This Row],[2024 Q1]]</f>
        <v>-25.199999999999996</v>
      </c>
      <c r="F6">
        <f>RBLX_REVENUE[[#This Row],[2024 Q2]]-RBLX_BOOKINGS[[#This Row],[2024 Q2]]</f>
        <v>-13.700000000000003</v>
      </c>
      <c r="G6">
        <f>RBLX_REVENUE[[#This Row],[2024 Q3]]-RBLX_BOOKINGS[[#This Row],[2024 Q3]]</f>
        <v>-24</v>
      </c>
      <c r="H6">
        <f>RBLX_REVENUE[[#This Row],[2024 Q4]]-RBLX_BOOKINGS[[#This Row],[2024 Q4]]</f>
        <v>-27.900000000000006</v>
      </c>
      <c r="I6">
        <f>RBLX_REVENUE[[#This Row],[2025 Q1]]-RBLX_BOOKINGS[[#This Row],[2025 Q1]]</f>
        <v>-28.100000000000009</v>
      </c>
      <c r="J6">
        <f>RBLX_REVENUE[[#This Row],[2025 Q2]]-RBLX_BOOKINGS[[#This Row],[2025 Q2]]</f>
        <v>-37.999999999999986</v>
      </c>
      <c r="K6">
        <f>RBLX_REVENUE[[#This Row],[2025 Q3]]-RBLX_BOOKINGS[[#This Row],[2025 Q3]]</f>
        <v>-95.9</v>
      </c>
    </row>
    <row r="9" spans="2:11" x14ac:dyDescent="0.2">
      <c r="B9" s="4" t="s">
        <v>14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4" t="s">
        <v>11</v>
      </c>
      <c r="K9" s="5" t="s">
        <v>12</v>
      </c>
    </row>
    <row r="10" spans="2:11" x14ac:dyDescent="0.2">
      <c r="B10" s="2" t="s">
        <v>0</v>
      </c>
      <c r="C10" s="2">
        <f>C3/BOOKINGS!C3</f>
        <v>-0.12747336377473364</v>
      </c>
      <c r="D10" s="2">
        <f>D3/BOOKINGS!D3</f>
        <v>-0.3403875223306308</v>
      </c>
      <c r="E10" s="2">
        <f>E3/BOOKINGS!E3</f>
        <v>-7.3973100690658017E-2</v>
      </c>
      <c r="F10" s="2">
        <f>F3/BOOKINGS!F3</f>
        <v>-3.6929884275017096E-2</v>
      </c>
      <c r="G10" s="2">
        <f>G3/BOOKINGS!G3</f>
        <v>-0.16809360730593603</v>
      </c>
      <c r="H10" s="2">
        <f>H3/BOOKINGS!H3</f>
        <v>-0.27712661018916102</v>
      </c>
      <c r="I10" s="2">
        <f>I3/BOOKINGS!I3</f>
        <v>-0.10022240756185714</v>
      </c>
      <c r="J10" s="2">
        <f>J3/BOOKINGS!J3</f>
        <v>-0.20171673819742483</v>
      </c>
      <c r="K10" s="2">
        <f>K3/BOOKINGS!K3</f>
        <v>-0.22063173966981584</v>
      </c>
    </row>
    <row r="11" spans="2:11" x14ac:dyDescent="0.2">
      <c r="B11" s="2" t="s">
        <v>1</v>
      </c>
      <c r="C11" s="2">
        <f>C4/BOOKINGS!C4</f>
        <v>-0.18939393939393939</v>
      </c>
      <c r="D11" s="2">
        <f>D4/BOOKINGS!D4</f>
        <v>-0.3385518590998044</v>
      </c>
      <c r="E11" s="2">
        <f>E4/BOOKINGS!E4</f>
        <v>-0.19513543394140415</v>
      </c>
      <c r="F11" s="2">
        <f>F4/BOOKINGS!F4</f>
        <v>-0.11099020674646357</v>
      </c>
      <c r="G11" s="2">
        <f>G4/BOOKINGS!G4</f>
        <v>-0.21917170777105627</v>
      </c>
      <c r="H11" s="2">
        <f>H4/BOOKINGS!H4</f>
        <v>-0.27564356435643561</v>
      </c>
      <c r="I11" s="2">
        <f>I4/BOOKINGS!I4</f>
        <v>-0.16802750322303392</v>
      </c>
      <c r="J11" s="2">
        <f>J4/BOOKINGS!J4</f>
        <v>-0.30279291553133525</v>
      </c>
      <c r="K11" s="2">
        <f>K4/BOOKINGS!K4</f>
        <v>-0.35210577864838383</v>
      </c>
    </row>
    <row r="12" spans="2:11" x14ac:dyDescent="0.2">
      <c r="B12" s="2" t="s">
        <v>2</v>
      </c>
      <c r="C12" s="2">
        <f>C5/BOOKINGS!C5</f>
        <v>-0.13380281690140852</v>
      </c>
      <c r="D12" s="2">
        <f>D5/BOOKINGS!D5</f>
        <v>-0.272140221402214</v>
      </c>
      <c r="E12" s="2">
        <f>E5/BOOKINGS!E5</f>
        <v>-0.19981238273921198</v>
      </c>
      <c r="F12" s="2">
        <f>F5/BOOKINGS!F5</f>
        <v>-5.7482656095143816E-2</v>
      </c>
      <c r="G12" s="2">
        <f>G5/BOOKINGS!G5</f>
        <v>-0.17743324720068901</v>
      </c>
      <c r="H12" s="2">
        <f>H5/BOOKINGS!H5</f>
        <v>-0.26443335709194588</v>
      </c>
      <c r="I12" s="2">
        <f>I5/BOOKINGS!I5</f>
        <v>-0.22804532577903677</v>
      </c>
      <c r="J12" s="2">
        <f>J5/BOOKINGS!J5</f>
        <v>-0.34447592067988669</v>
      </c>
      <c r="K12" s="2">
        <f>K5/BOOKINGS!K5</f>
        <v>-0.37361736993035638</v>
      </c>
    </row>
    <row r="13" spans="2:11" x14ac:dyDescent="0.2">
      <c r="B13" s="3" t="s">
        <v>3</v>
      </c>
      <c r="C13" s="2">
        <f>C6/BOOKINGS!C6</f>
        <v>-0.25320056899004262</v>
      </c>
      <c r="D13" s="2">
        <f>D6/BOOKINGS!D6</f>
        <v>-0.35225955967555039</v>
      </c>
      <c r="E13" s="2">
        <f>E6/BOOKINGS!E6</f>
        <v>-0.29268292682926828</v>
      </c>
      <c r="F13" s="2">
        <f>F6/BOOKINGS!F6</f>
        <v>-0.16525934861278652</v>
      </c>
      <c r="G13" s="2">
        <f>G6/BOOKINGS!G6</f>
        <v>-0.24819027921406411</v>
      </c>
      <c r="H13" s="2">
        <f>H6/BOOKINGS!H6</f>
        <v>-0.26026119402985082</v>
      </c>
      <c r="I13" s="2">
        <f>I6/BOOKINGS!I6</f>
        <v>-0.2477954144620812</v>
      </c>
      <c r="J13" s="2">
        <f>J6/BOOKINGS!J6</f>
        <v>-0.29526029526029518</v>
      </c>
      <c r="K13" s="2">
        <f>K6/BOOKINGS!K6</f>
        <v>-0.43315266485998194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DAU</vt:lpstr>
      <vt:lpstr>ABPDAU</vt:lpstr>
      <vt:lpstr>BOOKINGS</vt:lpstr>
      <vt:lpstr>REVENUE</vt:lpstr>
      <vt:lpstr>BOOKINGS TO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Rodriguez</dc:creator>
  <cp:lastModifiedBy>Mateo Rodriguez</cp:lastModifiedBy>
  <dcterms:created xsi:type="dcterms:W3CDTF">2025-11-01T23:49:32Z</dcterms:created>
  <dcterms:modified xsi:type="dcterms:W3CDTF">2025-11-02T03:31:19Z</dcterms:modified>
</cp:coreProperties>
</file>