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o/Documents/Notes/YSIG/Homework/"/>
    </mc:Choice>
  </mc:AlternateContent>
  <xr:revisionPtr revIDLastSave="0" documentId="8_{5739299D-2DE5-5F4D-A950-C991E9790BD8}" xr6:coauthVersionLast="47" xr6:coauthVersionMax="47" xr10:uidLastSave="{00000000-0000-0000-0000-000000000000}"/>
  <bookViews>
    <workbookView xWindow="3260" yWindow="2160" windowWidth="28040" windowHeight="17440" xr2:uid="{4D24AD92-D179-5942-9565-50DBE22D70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G8" i="1"/>
  <c r="C6" i="1" s="1"/>
  <c r="G5" i="1"/>
  <c r="G4" i="1"/>
  <c r="G3" i="1"/>
  <c r="F15" i="1" s="1"/>
  <c r="G11" i="1"/>
  <c r="C8" i="1" s="1"/>
  <c r="C5" i="1"/>
  <c r="C7" i="1" l="1"/>
  <c r="C14" i="1"/>
  <c r="C9" i="1"/>
  <c r="E12" i="1" l="1"/>
  <c r="G12" i="1" s="1"/>
  <c r="C10" i="1" s="1"/>
  <c r="C11" i="1" s="1"/>
  <c r="C13" i="1" s="1"/>
</calcChain>
</file>

<file path=xl/sharedStrings.xml><?xml version="1.0" encoding="utf-8"?>
<sst xmlns="http://schemas.openxmlformats.org/spreadsheetml/2006/main" count="24" uniqueCount="23">
  <si>
    <t>Revenue</t>
  </si>
  <si>
    <t>Cost of Goods Sold</t>
  </si>
  <si>
    <t>Gross Profit</t>
  </si>
  <si>
    <t>SG&amp;A</t>
  </si>
  <si>
    <t>EBIT</t>
  </si>
  <si>
    <t>Interest Expense (Net)</t>
  </si>
  <si>
    <t>Pretax income</t>
  </si>
  <si>
    <t>Tax expense</t>
  </si>
  <si>
    <t>Net Income</t>
  </si>
  <si>
    <t>Share Outstanding</t>
  </si>
  <si>
    <t>EPS</t>
  </si>
  <si>
    <t>EBITDA</t>
  </si>
  <si>
    <t>expense</t>
  </si>
  <si>
    <t>useful life (y)</t>
  </si>
  <si>
    <t>amortized cost</t>
  </si>
  <si>
    <t>depreciation</t>
  </si>
  <si>
    <t>amortization</t>
  </si>
  <si>
    <t>fixed cost</t>
  </si>
  <si>
    <t>worker 1</t>
  </si>
  <si>
    <t>worker 2</t>
  </si>
  <si>
    <t>tax/interest</t>
  </si>
  <si>
    <t>rate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</si>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</sst>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3" fontId="0" fillId="0" borderId="0" xfId="0" applyNumberFormat="1"/>
    <xf numFmtId="43" fontId="0" fillId="0" borderId="0" xfId="1" applyFont="1"/>
    <xf numFmtId="43" fontId="0" fillId="0" borderId="0" xfId="0" applyNumberFormat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A9B9-B99C-F741-87D3-35CD84E6EB08}">
  <dimension ref="B2:K15"/>
  <sheetViews>
    <sheetView tabSelected="1" zoomScale="137" workbookViewId="0">
      <selection activeCell="I5" sqref="I5"/>
    </sheetView>
  </sheetViews>
  <sheetFormatPr baseColWidth="10" defaultRowHeight="16" x14ac:dyDescent="0.2"/>
  <cols>
    <col min="2" max="2" width="21.5" customWidth="1"/>
    <col min="3" max="3" width="11.83203125" bestFit="1" customWidth="1"/>
    <col min="7" max="7" width="13.83203125" customWidth="1"/>
  </cols>
  <sheetData>
    <row r="2" spans="2:11" x14ac:dyDescent="0.2">
      <c r="E2" t="s">
        <v>12</v>
      </c>
      <c r="F2" t="s">
        <v>13</v>
      </c>
      <c r="G2" t="s">
        <v>14</v>
      </c>
    </row>
    <row r="3" spans="2:11" x14ac:dyDescent="0.2">
      <c r="B3" s="1" t="s">
        <v>0</v>
      </c>
      <c r="C3" s="4">
        <f>100000</f>
        <v>100000</v>
      </c>
      <c r="D3" s="3"/>
      <c r="E3" s="3">
        <v>15000</v>
      </c>
      <c r="F3">
        <v>3</v>
      </c>
      <c r="G3">
        <f t="shared" ref="G3:G5" si="0">E3/F3</f>
        <v>5000</v>
      </c>
      <c r="K3" s="3"/>
    </row>
    <row r="4" spans="2:11" x14ac:dyDescent="0.2">
      <c r="B4" s="2" t="s">
        <v>1</v>
      </c>
      <c r="C4" s="4">
        <f>G15</f>
        <v>20000</v>
      </c>
      <c r="E4" s="3">
        <v>15000</v>
      </c>
      <c r="F4">
        <v>3</v>
      </c>
      <c r="G4">
        <f t="shared" si="0"/>
        <v>5000</v>
      </c>
    </row>
    <row r="5" spans="2:11" x14ac:dyDescent="0.2">
      <c r="B5" s="1" t="s">
        <v>2</v>
      </c>
      <c r="C5" s="5">
        <f>C3-C4</f>
        <v>80000</v>
      </c>
      <c r="E5" s="3">
        <v>2000</v>
      </c>
      <c r="F5" s="3">
        <v>5</v>
      </c>
      <c r="G5">
        <f t="shared" si="0"/>
        <v>400</v>
      </c>
    </row>
    <row r="6" spans="2:11" x14ac:dyDescent="0.2">
      <c r="B6" s="2" t="s">
        <v>3</v>
      </c>
      <c r="C6" s="4">
        <f>G8</f>
        <v>30000</v>
      </c>
      <c r="D6" s="3"/>
      <c r="E6" s="3"/>
      <c r="F6" s="3"/>
    </row>
    <row r="7" spans="2:11" x14ac:dyDescent="0.2">
      <c r="B7" s="1" t="s">
        <v>4</v>
      </c>
      <c r="C7" s="5">
        <f>C5-C6-F15</f>
        <v>39600</v>
      </c>
      <c r="E7" t="s">
        <v>18</v>
      </c>
      <c r="F7" t="s">
        <v>19</v>
      </c>
      <c r="G7" t="s">
        <v>3</v>
      </c>
    </row>
    <row r="8" spans="2:11" x14ac:dyDescent="0.2">
      <c r="B8" s="2" t="s">
        <v>5</v>
      </c>
      <c r="C8" s="4">
        <f>G11</f>
        <v>5000</v>
      </c>
      <c r="E8" s="3">
        <v>15000</v>
      </c>
      <c r="F8" s="3">
        <v>15000</v>
      </c>
      <c r="G8" s="3">
        <f>SUM(E8:F8)</f>
        <v>30000</v>
      </c>
    </row>
    <row r="9" spans="2:11" x14ac:dyDescent="0.2">
      <c r="B9" s="1" t="s">
        <v>6</v>
      </c>
      <c r="C9" s="5">
        <f>C7-C8</f>
        <v>34600</v>
      </c>
    </row>
    <row r="10" spans="2:11" x14ac:dyDescent="0.2">
      <c r="B10" s="2" t="s">
        <v>7</v>
      </c>
      <c r="C10" s="5">
        <f>G12</f>
        <v>13840</v>
      </c>
      <c r="E10" t="s">
        <v>22</v>
      </c>
      <c r="F10" t="s">
        <v>21</v>
      </c>
      <c r="G10" t="s">
        <v>20</v>
      </c>
    </row>
    <row r="11" spans="2:11" x14ac:dyDescent="0.2">
      <c r="B11" s="1" t="s">
        <v>8</v>
      </c>
      <c r="C11" s="5">
        <f>C9-C10</f>
        <v>20760</v>
      </c>
      <c r="E11" s="3">
        <v>50000</v>
      </c>
      <c r="F11" s="6">
        <v>0.1</v>
      </c>
      <c r="G11">
        <f>E11*F11</f>
        <v>5000</v>
      </c>
    </row>
    <row r="12" spans="2:11" x14ac:dyDescent="0.2">
      <c r="B12" s="2" t="s">
        <v>9</v>
      </c>
      <c r="C12" s="3">
        <v>5000</v>
      </c>
      <c r="E12" s="5">
        <f>C9</f>
        <v>34600</v>
      </c>
      <c r="F12" s="6">
        <v>0.4</v>
      </c>
      <c r="G12" s="5">
        <f>E12*F12</f>
        <v>13840</v>
      </c>
    </row>
    <row r="13" spans="2:11" x14ac:dyDescent="0.2">
      <c r="B13" s="2" t="s">
        <v>10</v>
      </c>
      <c r="C13" s="5">
        <f>C11/C12</f>
        <v>4.1520000000000001</v>
      </c>
    </row>
    <row r="14" spans="2:11" x14ac:dyDescent="0.2">
      <c r="B14" s="1" t="s">
        <v>11</v>
      </c>
      <c r="C14" s="5">
        <f>C7+J3</f>
        <v>39600</v>
      </c>
      <c r="E14" t="s">
        <v>15</v>
      </c>
      <c r="F14" t="s">
        <v>16</v>
      </c>
      <c r="G14" t="s">
        <v>17</v>
      </c>
    </row>
    <row r="15" spans="2:11" x14ac:dyDescent="0.2">
      <c r="E15">
        <v>0</v>
      </c>
      <c r="F15">
        <f>SUM(G3:G5)</f>
        <v>10400</v>
      </c>
      <c r="G15" s="3">
        <v>20000</v>
      </c>
    </row>
  </sheetData>
  <pageMargins left="0.7" right="0.7" top="0.75" bottom="0.75" header="0.3" footer="0.3"/>
  <ignoredErrors>
    <ignoredError sqref="C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Rodriguez</dc:creator>
  <cp:lastModifiedBy>Mateo Rodriguez</cp:lastModifiedBy>
  <dcterms:created xsi:type="dcterms:W3CDTF">2025-10-26T16:15:39Z</dcterms:created>
  <dcterms:modified xsi:type="dcterms:W3CDTF">2025-10-26T18:54:44Z</dcterms:modified>
</cp:coreProperties>
</file>