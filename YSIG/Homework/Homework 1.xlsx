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/Documents/Notes/YSIG/Homework/"/>
    </mc:Choice>
  </mc:AlternateContent>
  <xr:revisionPtr revIDLastSave="0" documentId="8_{FC2A58DA-F2BA-2A46-922B-E8EB73AEF3BF}" xr6:coauthVersionLast="47" xr6:coauthVersionMax="47" xr10:uidLastSave="{00000000-0000-0000-0000-000000000000}"/>
  <bookViews>
    <workbookView xWindow="11200" yWindow="940" windowWidth="23220" windowHeight="19840" activeTab="1" xr2:uid="{F97E8710-2771-E248-A77F-8748E3D37FC8}"/>
  </bookViews>
  <sheets>
    <sheet name="Sheet1" sheetId="1" r:id="rId1"/>
    <sheet name="COG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I5" i="3" s="1"/>
  <c r="F5" i="3"/>
  <c r="F6" i="3"/>
  <c r="H6" i="3" s="1"/>
  <c r="I6" i="3" s="1"/>
  <c r="F7" i="3"/>
  <c r="H7" i="3" s="1"/>
  <c r="I7" i="3" s="1"/>
  <c r="F4" i="3"/>
  <c r="H4" i="3" s="1"/>
  <c r="I4" i="3" s="1"/>
  <c r="C10" i="3" s="1"/>
</calcChain>
</file>

<file path=xl/sharedStrings.xml><?xml version="1.0" encoding="utf-8"?>
<sst xmlns="http://schemas.openxmlformats.org/spreadsheetml/2006/main" count="13" uniqueCount="13">
  <si>
    <t>Description</t>
  </si>
  <si>
    <t>Useful Life</t>
  </si>
  <si>
    <t>Lemons and Paper Cups</t>
  </si>
  <si>
    <t>Lemon Squeezer</t>
  </si>
  <si>
    <t>Lemonade Stand</t>
  </si>
  <si>
    <t>Cash Register</t>
  </si>
  <si>
    <t>Cost (USD)</t>
  </si>
  <si>
    <t>Amortized Cost</t>
  </si>
  <si>
    <t>Purchase Year</t>
  </si>
  <si>
    <t>Cost/Year</t>
  </si>
  <si>
    <t>Year</t>
  </si>
  <si>
    <t>Remaining Owed</t>
  </si>
  <si>
    <t>Amortized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</si>
</sst>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theme="6"/>
      </left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 style="medium">
        <color theme="6"/>
      </right>
      <top/>
      <bottom style="medium">
        <color theme="6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9C3F0-E7B1-B54D-B87B-23697460F383}" name="Table1" displayName="Table1" ref="C3:I7" totalsRowShown="0" headerRowDxfId="4">
  <autoFilter ref="C3:I7" xr:uid="{9039C3F0-E7B1-B54D-B87B-23697460F383}"/>
  <tableColumns count="7">
    <tableColumn id="1" xr3:uid="{355835F3-FEE0-4147-8BA2-625E7F9AD8A2}" name="Description"/>
    <tableColumn id="2" xr3:uid="{E362B86B-3D86-B74F-9FD4-3D16359B5690}" name="Cost (USD)" dataDxfId="3"/>
    <tableColumn id="3" xr3:uid="{2FB13532-00A3-6942-95F4-5415A0022CA7}" name="Useful Life"/>
    <tableColumn id="4" xr3:uid="{2DF0B0BD-FEC4-B24A-986E-ED88BA4419B2}" name="Cost/Year">
      <calculatedColumnFormula>D4/E4</calculatedColumnFormula>
    </tableColumn>
    <tableColumn id="5" xr3:uid="{11821435-7846-AA4B-B77B-3AE59DE9C6F8}" name="Purchase Year"/>
    <tableColumn id="6" xr3:uid="{EEB89177-1B0E-A148-9811-0571C1E8BF8A}" name="Remaining Owed"/>
    <tableColumn id="7" xr3:uid="{92690BF0-2580-AE4A-BE67-C94A0025C165}" name="Amortized Cost">
      <calculatedColumnFormula>IF(H4=0,0,F4)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C8D401-B013-814C-8284-7AD2A26D10F9}" name="Table5" displayName="Table5" ref="C9:C10" totalsRowShown="0" headerRowDxfId="0" dataDxfId="1">
  <autoFilter ref="C9:C10" xr:uid="{94C8D401-B013-814C-8284-7AD2A26D10F9}"/>
  <tableColumns count="1">
    <tableColumn id="1" xr3:uid="{DE440414-397A-8D4B-AC56-299DCA6012F3}" name="Amortized Cost of Goods Sold" dataDxfId="2">
      <calculatedColumnFormula>SUM(Table1[Amortized Cost])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2FF3-B5B2-FB48-B473-4033FC25198E}">
  <dimension ref="B2:G4"/>
  <sheetViews>
    <sheetView zoomScale="234" workbookViewId="0">
      <selection activeCell="E3" sqref="E3"/>
    </sheetView>
  </sheetViews>
  <sheetFormatPr baseColWidth="10" defaultRowHeight="16" x14ac:dyDescent="0.2"/>
  <sheetData>
    <row r="2" spans="2:7" x14ac:dyDescent="0.2">
      <c r="B2" s="1"/>
      <c r="C2" s="1"/>
    </row>
    <row r="3" spans="2:7" x14ac:dyDescent="0.2">
      <c r="B3" s="1"/>
      <c r="C3" s="1"/>
      <c r="D3" s="1"/>
      <c r="E3" s="1"/>
      <c r="F3" s="1">
        <v>15000</v>
      </c>
      <c r="G3" s="1">
        <v>2000</v>
      </c>
    </row>
    <row r="4" spans="2:7" x14ac:dyDescent="0.2">
      <c r="C4" s="1"/>
      <c r="D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EF41-421A-D84F-8598-1538E3984BE7}">
  <dimension ref="A2:I10"/>
  <sheetViews>
    <sheetView tabSelected="1" zoomScale="125" workbookViewId="0">
      <selection activeCell="D10" sqref="D10"/>
    </sheetView>
  </sheetViews>
  <sheetFormatPr baseColWidth="10" defaultRowHeight="16" x14ac:dyDescent="0.2"/>
  <cols>
    <col min="3" max="3" width="27" customWidth="1"/>
    <col min="4" max="4" width="11.6640625" customWidth="1"/>
    <col min="5" max="5" width="11.1640625" customWidth="1"/>
    <col min="6" max="6" width="13" customWidth="1"/>
    <col min="7" max="7" width="14.33203125" customWidth="1"/>
    <col min="8" max="8" width="16.33203125" customWidth="1"/>
    <col min="9" max="9" width="15" customWidth="1"/>
  </cols>
  <sheetData>
    <row r="2" spans="1:9" ht="17" thickBot="1" x14ac:dyDescent="0.25"/>
    <row r="3" spans="1:9" x14ac:dyDescent="0.2">
      <c r="A3" s="3" t="s">
        <v>10</v>
      </c>
      <c r="C3" s="2" t="s">
        <v>0</v>
      </c>
      <c r="D3" s="2" t="s">
        <v>6</v>
      </c>
      <c r="E3" s="2" t="s">
        <v>1</v>
      </c>
      <c r="F3" s="2" t="s">
        <v>9</v>
      </c>
      <c r="G3" s="2" t="s">
        <v>8</v>
      </c>
      <c r="H3" s="2" t="s">
        <v>11</v>
      </c>
      <c r="I3" s="2" t="s">
        <v>7</v>
      </c>
    </row>
    <row r="4" spans="1:9" ht="17" thickBot="1" x14ac:dyDescent="0.25">
      <c r="A4" s="4">
        <v>2024</v>
      </c>
      <c r="C4" t="s">
        <v>2</v>
      </c>
      <c r="D4" s="1">
        <v>20000</v>
      </c>
      <c r="E4">
        <v>1</v>
      </c>
      <c r="F4">
        <f>D4/E4</f>
        <v>20000</v>
      </c>
      <c r="G4">
        <v>2024</v>
      </c>
      <c r="H4">
        <f>IF((A4-G4)&lt;0,0, MAX(0,D4-(A4-G4)*F4))</f>
        <v>20000</v>
      </c>
      <c r="I4">
        <f>IF(H4=0,0,F4)</f>
        <v>20000</v>
      </c>
    </row>
    <row r="5" spans="1:9" x14ac:dyDescent="0.2">
      <c r="C5" t="s">
        <v>3</v>
      </c>
      <c r="D5" s="1">
        <v>15000</v>
      </c>
      <c r="E5">
        <v>3</v>
      </c>
      <c r="F5">
        <f t="shared" ref="F5:F7" si="0">D5/E5</f>
        <v>5000</v>
      </c>
      <c r="G5">
        <v>2023</v>
      </c>
      <c r="H5">
        <f>IF((A4-G5)&lt;0,0,MAX(0,D5-(A4-G5)*F5))</f>
        <v>10000</v>
      </c>
      <c r="I5">
        <f t="shared" ref="I5:I7" si="1">IF(H5=0,0,F5)</f>
        <v>5000</v>
      </c>
    </row>
    <row r="6" spans="1:9" x14ac:dyDescent="0.2">
      <c r="C6" t="s">
        <v>4</v>
      </c>
      <c r="D6" s="1">
        <v>15000</v>
      </c>
      <c r="E6">
        <v>3</v>
      </c>
      <c r="F6">
        <f t="shared" si="0"/>
        <v>5000</v>
      </c>
      <c r="G6">
        <v>2023</v>
      </c>
      <c r="H6">
        <f>IF((A4-G6)&lt;0,0,MAX(0,D6-(A4-G6)*F6))</f>
        <v>10000</v>
      </c>
      <c r="I6">
        <f t="shared" si="1"/>
        <v>5000</v>
      </c>
    </row>
    <row r="7" spans="1:9" x14ac:dyDescent="0.2">
      <c r="C7" t="s">
        <v>5</v>
      </c>
      <c r="D7" s="1">
        <v>2000</v>
      </c>
      <c r="E7">
        <v>5</v>
      </c>
      <c r="F7">
        <f t="shared" si="0"/>
        <v>400</v>
      </c>
      <c r="G7">
        <v>2023</v>
      </c>
      <c r="H7">
        <f>IF((A4-G7)&lt;0,0,MAX(0,D7-(A4-G7)*F7))</f>
        <v>1600</v>
      </c>
      <c r="I7">
        <f t="shared" si="1"/>
        <v>400</v>
      </c>
    </row>
    <row r="9" spans="1:9" x14ac:dyDescent="0.2">
      <c r="C9" s="2" t="s">
        <v>12</v>
      </c>
    </row>
    <row r="10" spans="1:9" x14ac:dyDescent="0.2">
      <c r="C10" s="2">
        <f>SUM(Table1[Amortized Cost])</f>
        <v>30400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Rodriguez</dc:creator>
  <cp:lastModifiedBy>Mateo Rodriguez</cp:lastModifiedBy>
  <dcterms:created xsi:type="dcterms:W3CDTF">2025-10-13T23:19:08Z</dcterms:created>
  <dcterms:modified xsi:type="dcterms:W3CDTF">2025-10-14T02:14:20Z</dcterms:modified>
</cp:coreProperties>
</file>